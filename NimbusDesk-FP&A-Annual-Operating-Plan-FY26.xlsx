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radhi\Downloads\"/>
    </mc:Choice>
  </mc:AlternateContent>
  <xr:revisionPtr revIDLastSave="0" documentId="8_{8BB38B34-B61A-422D-9230-C7B99EE4E9EB}" xr6:coauthVersionLast="47" xr6:coauthVersionMax="47" xr10:uidLastSave="{00000000-0000-0000-0000-000000000000}"/>
  <bookViews>
    <workbookView xWindow="-108" yWindow="-108" windowWidth="23256" windowHeight="12456" xr2:uid="{EB25D81B-D30B-4D33-A0FA-EB6BE7437525}"/>
  </bookViews>
  <sheets>
    <sheet name="Executive_Summary" sheetId="14" r:id="rId1"/>
    <sheet name="Dashboard" sheetId="12" r:id="rId2"/>
    <sheet name="Assumptions_Log" sheetId="9" r:id="rId3"/>
    <sheet name="Rev_Build" sheetId="1" r:id="rId4"/>
    <sheet name="Customer_Metrics" sheetId="2" r:id="rId5"/>
    <sheet name="Sales_Capacity" sheetId="4" r:id="rId6"/>
    <sheet name="Headcount_Plan" sheetId="3" r:id="rId7"/>
    <sheet name="Dept_Budget" sheetId="7" r:id="rId8"/>
    <sheet name="OpEx_Budget" sheetId="5" r:id="rId9"/>
    <sheet name="Cash_Flow" sheetId="8" r:id="rId10"/>
    <sheet name="Three_Statement" sheetId="10" r:id="rId11"/>
    <sheet name="Scenarios" sheetId="11" r:id="rId12"/>
    <sheet name="Variance_Analysis" sheetId="13"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8" i="13" l="1"/>
  <c r="G3" i="13"/>
  <c r="G4" i="13"/>
  <c r="G5" i="13"/>
  <c r="G6" i="13"/>
  <c r="G7" i="13"/>
  <c r="G2" i="13"/>
  <c r="F8" i="13"/>
  <c r="F7" i="13"/>
  <c r="F6" i="13"/>
  <c r="F5" i="13"/>
  <c r="F4" i="13"/>
  <c r="F3" i="13"/>
  <c r="F2" i="13"/>
  <c r="E3" i="13"/>
  <c r="E4" i="13"/>
  <c r="E5" i="13"/>
  <c r="E6" i="13"/>
  <c r="E7" i="13"/>
  <c r="E8" i="13"/>
  <c r="E2" i="13"/>
  <c r="D3" i="13"/>
  <c r="D4" i="13"/>
  <c r="D5" i="13"/>
  <c r="D6" i="13"/>
  <c r="D7" i="13"/>
  <c r="D8" i="13"/>
  <c r="D2" i="13"/>
  <c r="B8" i="13"/>
  <c r="B7" i="13"/>
  <c r="B6" i="13"/>
  <c r="B5" i="13"/>
  <c r="B4" i="13"/>
  <c r="B3" i="13"/>
  <c r="B2" i="13"/>
  <c r="C7" i="12"/>
  <c r="A11" i="12"/>
  <c r="G7" i="12"/>
  <c r="E7" i="12"/>
  <c r="K11" i="12"/>
  <c r="G11" i="12"/>
  <c r="B4" i="12"/>
  <c r="K7" i="11"/>
  <c r="L7" i="11"/>
  <c r="J7" i="11"/>
  <c r="P1" i="3"/>
  <c r="C14" i="3" s="1"/>
  <c r="C16" i="3" s="1"/>
  <c r="B6" i="1"/>
  <c r="B14" i="1" s="1"/>
  <c r="B4" i="1"/>
  <c r="B13" i="1" s="1"/>
  <c r="B5" i="1"/>
  <c r="B12" i="1" s="1"/>
  <c r="B3" i="1"/>
  <c r="B2" i="1"/>
  <c r="D11" i="1" s="1"/>
  <c r="F19" i="10"/>
  <c r="G19" i="10" s="1"/>
  <c r="E19" i="10"/>
  <c r="D19" i="10"/>
  <c r="C45" i="10"/>
  <c r="C51" i="10"/>
  <c r="C19" i="10"/>
  <c r="E30" i="10"/>
  <c r="F30" i="10" s="1"/>
  <c r="D30" i="10"/>
  <c r="C30" i="10"/>
  <c r="C58" i="10"/>
  <c r="D56" i="10"/>
  <c r="E56" i="10"/>
  <c r="F56" i="10"/>
  <c r="G56" i="10"/>
  <c r="H56" i="10"/>
  <c r="I56" i="10"/>
  <c r="J56" i="10"/>
  <c r="K56" i="10"/>
  <c r="L56" i="10"/>
  <c r="M56" i="10"/>
  <c r="N56" i="10"/>
  <c r="C56" i="10"/>
  <c r="D52" i="10"/>
  <c r="E52" i="10"/>
  <c r="F52" i="10"/>
  <c r="G52" i="10"/>
  <c r="H52" i="10"/>
  <c r="I52" i="10"/>
  <c r="J52" i="10"/>
  <c r="K52" i="10"/>
  <c r="L52" i="10"/>
  <c r="M52" i="10"/>
  <c r="N52" i="10"/>
  <c r="C52" i="10"/>
  <c r="D51" i="10"/>
  <c r="E51" i="10"/>
  <c r="F51" i="10"/>
  <c r="G51" i="10"/>
  <c r="H51" i="10"/>
  <c r="I51" i="10"/>
  <c r="J51" i="10"/>
  <c r="K51" i="10"/>
  <c r="L51" i="10"/>
  <c r="M51" i="10"/>
  <c r="N51" i="10"/>
  <c r="C47" i="10"/>
  <c r="C24" i="10"/>
  <c r="D45" i="10"/>
  <c r="E45" i="10"/>
  <c r="F45" i="10"/>
  <c r="G45" i="10"/>
  <c r="H45" i="10"/>
  <c r="I45" i="10"/>
  <c r="J45" i="10"/>
  <c r="K45" i="10"/>
  <c r="L45" i="10"/>
  <c r="M45" i="10"/>
  <c r="N45" i="10"/>
  <c r="B35" i="10"/>
  <c r="B33" i="10"/>
  <c r="B30" i="10"/>
  <c r="B27" i="10"/>
  <c r="B21" i="10"/>
  <c r="N8" i="10"/>
  <c r="D8" i="10"/>
  <c r="E8" i="10"/>
  <c r="F8" i="10"/>
  <c r="G8" i="10"/>
  <c r="H8" i="10"/>
  <c r="I8" i="10"/>
  <c r="J8" i="10"/>
  <c r="K8" i="10"/>
  <c r="L8" i="10"/>
  <c r="M8" i="10"/>
  <c r="C8" i="10"/>
  <c r="O8" i="10" s="1"/>
  <c r="C6" i="10"/>
  <c r="D3" i="10"/>
  <c r="C3" i="10"/>
  <c r="B15" i="8"/>
  <c r="B3" i="8"/>
  <c r="C6" i="7"/>
  <c r="C5" i="7"/>
  <c r="C4" i="7"/>
  <c r="C3" i="7"/>
  <c r="C2" i="7"/>
  <c r="C27" i="5"/>
  <c r="D27" i="5"/>
  <c r="B27" i="5"/>
  <c r="B26" i="5"/>
  <c r="B25" i="5"/>
  <c r="C24" i="5"/>
  <c r="B24" i="5"/>
  <c r="B73" i="3"/>
  <c r="C72" i="3"/>
  <c r="D72" i="3"/>
  <c r="B72" i="3"/>
  <c r="C71" i="3"/>
  <c r="B71" i="3"/>
  <c r="B70" i="3"/>
  <c r="C69" i="3"/>
  <c r="B69" i="3"/>
  <c r="B68" i="3"/>
  <c r="B55" i="3"/>
  <c r="B52" i="3"/>
  <c r="E18" i="5"/>
  <c r="F18" i="5"/>
  <c r="G18" i="5"/>
  <c r="H18" i="5"/>
  <c r="I18" i="5"/>
  <c r="L18" i="5"/>
  <c r="M18" i="5"/>
  <c r="B18" i="5"/>
  <c r="G13" i="5"/>
  <c r="J13" i="5"/>
  <c r="L12" i="5"/>
  <c r="M12" i="5"/>
  <c r="B12" i="5"/>
  <c r="C3" i="5"/>
  <c r="K13" i="5" s="1"/>
  <c r="C4" i="5"/>
  <c r="J14" i="5" s="1"/>
  <c r="C5" i="5"/>
  <c r="K15" i="5" s="1"/>
  <c r="C6" i="5"/>
  <c r="L16" i="5" s="1"/>
  <c r="C7" i="5"/>
  <c r="M17" i="5" s="1"/>
  <c r="C8" i="5"/>
  <c r="C18" i="5" s="1"/>
  <c r="C2" i="5"/>
  <c r="J12" i="5" s="1"/>
  <c r="B9" i="4"/>
  <c r="B37" i="4"/>
  <c r="B36" i="4"/>
  <c r="C34" i="4"/>
  <c r="D34" i="4"/>
  <c r="E34" i="4"/>
  <c r="F34" i="4"/>
  <c r="G34" i="4"/>
  <c r="H34" i="4"/>
  <c r="I34" i="4"/>
  <c r="J34" i="4"/>
  <c r="K34" i="4"/>
  <c r="L34" i="4"/>
  <c r="M34" i="4"/>
  <c r="B34" i="4"/>
  <c r="C33" i="4"/>
  <c r="D33" i="4"/>
  <c r="E33" i="4"/>
  <c r="F33" i="4"/>
  <c r="G33" i="4"/>
  <c r="H33" i="4"/>
  <c r="I33" i="4"/>
  <c r="J33" i="4"/>
  <c r="K33" i="4"/>
  <c r="L33" i="4"/>
  <c r="M33" i="4"/>
  <c r="B33" i="4"/>
  <c r="C32" i="4"/>
  <c r="D32" i="4"/>
  <c r="E32" i="4"/>
  <c r="F32" i="4"/>
  <c r="G32" i="4"/>
  <c r="H32" i="4"/>
  <c r="I32" i="4"/>
  <c r="J32" i="4"/>
  <c r="K32" i="4"/>
  <c r="L32" i="4"/>
  <c r="M32" i="4"/>
  <c r="B32" i="4"/>
  <c r="B30" i="4"/>
  <c r="C30" i="4"/>
  <c r="D30" i="4"/>
  <c r="E30" i="4"/>
  <c r="F30" i="4"/>
  <c r="G30" i="4"/>
  <c r="H30" i="4"/>
  <c r="I30" i="4"/>
  <c r="J30" i="4"/>
  <c r="K30" i="4"/>
  <c r="L30" i="4"/>
  <c r="M30" i="4"/>
  <c r="C29" i="4"/>
  <c r="D29" i="4"/>
  <c r="E29" i="4"/>
  <c r="F29" i="4"/>
  <c r="G29" i="4"/>
  <c r="H29" i="4"/>
  <c r="I29" i="4"/>
  <c r="J29" i="4"/>
  <c r="K29" i="4"/>
  <c r="L29" i="4"/>
  <c r="M29" i="4"/>
  <c r="B29" i="4"/>
  <c r="C28" i="4"/>
  <c r="D28" i="4"/>
  <c r="E28" i="4"/>
  <c r="F28" i="4"/>
  <c r="G28" i="4"/>
  <c r="H28" i="4"/>
  <c r="I28" i="4"/>
  <c r="J28" i="4"/>
  <c r="K28" i="4"/>
  <c r="L28" i="4"/>
  <c r="M28" i="4"/>
  <c r="B28" i="4"/>
  <c r="E27" i="4"/>
  <c r="F27" i="4"/>
  <c r="G27" i="4"/>
  <c r="H27" i="4"/>
  <c r="I27" i="4"/>
  <c r="J27" i="4"/>
  <c r="K27" i="4"/>
  <c r="L27" i="4"/>
  <c r="M27" i="4"/>
  <c r="D27" i="4"/>
  <c r="C27" i="4"/>
  <c r="B27" i="4"/>
  <c r="B16" i="4"/>
  <c r="B8" i="4"/>
  <c r="B7" i="4"/>
  <c r="B6" i="4"/>
  <c r="B58" i="3"/>
  <c r="C56" i="3"/>
  <c r="D56" i="3"/>
  <c r="B56" i="3"/>
  <c r="C55" i="3"/>
  <c r="B54" i="3"/>
  <c r="C53" i="3"/>
  <c r="B53" i="3"/>
  <c r="B41" i="3"/>
  <c r="B23" i="3"/>
  <c r="G42" i="3"/>
  <c r="D42" i="3"/>
  <c r="M42" i="3"/>
  <c r="L42" i="3"/>
  <c r="K42" i="3"/>
  <c r="I42" i="3"/>
  <c r="H42" i="3"/>
  <c r="F42" i="3"/>
  <c r="C42" i="3"/>
  <c r="B42" i="3"/>
  <c r="L35" i="3"/>
  <c r="K35" i="3"/>
  <c r="I35" i="3"/>
  <c r="H35" i="3"/>
  <c r="F35" i="3"/>
  <c r="E35" i="3"/>
  <c r="C35" i="3"/>
  <c r="B35" i="3"/>
  <c r="B34" i="3"/>
  <c r="M35" i="3"/>
  <c r="B20" i="3"/>
  <c r="B27" i="3"/>
  <c r="B28" i="3"/>
  <c r="I21" i="3"/>
  <c r="F21" i="3"/>
  <c r="C21" i="3"/>
  <c r="M21" i="3"/>
  <c r="L21" i="3"/>
  <c r="H21" i="3"/>
  <c r="E21" i="3"/>
  <c r="B21" i="3"/>
  <c r="M14" i="3"/>
  <c r="L14" i="3"/>
  <c r="J14" i="3"/>
  <c r="G14" i="3"/>
  <c r="H14" i="3"/>
  <c r="E14" i="3"/>
  <c r="D14" i="3"/>
  <c r="C15" i="3"/>
  <c r="C13" i="3"/>
  <c r="B16" i="3"/>
  <c r="B15" i="3"/>
  <c r="B13" i="3"/>
  <c r="B14" i="3"/>
  <c r="B17" i="2"/>
  <c r="B20" i="2"/>
  <c r="B21" i="2" s="1"/>
  <c r="B22" i="2" s="1"/>
  <c r="B16" i="2"/>
  <c r="F2" i="2" s="1"/>
  <c r="B15" i="2"/>
  <c r="R2" i="2" s="1"/>
  <c r="B20" i="1"/>
  <c r="B10" i="1"/>
  <c r="F28" i="3" l="1"/>
  <c r="G28" i="3"/>
  <c r="L28" i="3"/>
  <c r="I14" i="3"/>
  <c r="J28" i="3"/>
  <c r="K28" i="3"/>
  <c r="K14" i="3"/>
  <c r="I28" i="3"/>
  <c r="H28" i="3"/>
  <c r="D21" i="3"/>
  <c r="G21" i="3"/>
  <c r="D35" i="3"/>
  <c r="J21" i="3"/>
  <c r="G35" i="3"/>
  <c r="C28" i="3"/>
  <c r="J35" i="3"/>
  <c r="F14" i="3"/>
  <c r="D28" i="3"/>
  <c r="E42" i="3"/>
  <c r="E28" i="3"/>
  <c r="J42" i="3"/>
  <c r="D13" i="3"/>
  <c r="D15" i="3" s="1"/>
  <c r="C52" i="3"/>
  <c r="E11" i="1"/>
  <c r="B11" i="1"/>
  <c r="C11" i="1"/>
  <c r="H19" i="10"/>
  <c r="I19" i="10" s="1"/>
  <c r="J19" i="10" s="1"/>
  <c r="K19" i="10" s="1"/>
  <c r="L19" i="10" s="1"/>
  <c r="M19" i="10" s="1"/>
  <c r="G30" i="10"/>
  <c r="I12" i="5"/>
  <c r="H12" i="5"/>
  <c r="D12" i="5"/>
  <c r="D18" i="5"/>
  <c r="E12" i="5"/>
  <c r="C12" i="5"/>
  <c r="J15" i="5"/>
  <c r="I15" i="5"/>
  <c r="H13" i="5"/>
  <c r="K16" i="5"/>
  <c r="I14" i="5"/>
  <c r="G12" i="5"/>
  <c r="K18" i="5"/>
  <c r="H14" i="5"/>
  <c r="I13" i="5"/>
  <c r="F12" i="5"/>
  <c r="J18" i="5"/>
  <c r="N18" i="5" s="1"/>
  <c r="G14" i="5"/>
  <c r="H16" i="5"/>
  <c r="L17" i="5"/>
  <c r="K17" i="5"/>
  <c r="J17" i="5"/>
  <c r="I16" i="5"/>
  <c r="I17" i="5"/>
  <c r="F14" i="5"/>
  <c r="F13" i="5"/>
  <c r="H17" i="5"/>
  <c r="G16" i="5"/>
  <c r="E14" i="5"/>
  <c r="G17" i="5"/>
  <c r="F16" i="5"/>
  <c r="D14" i="5"/>
  <c r="B14" i="5"/>
  <c r="D13" i="5"/>
  <c r="F17" i="5"/>
  <c r="E16" i="5"/>
  <c r="C14" i="5"/>
  <c r="D16" i="5"/>
  <c r="C13" i="5"/>
  <c r="D17" i="5"/>
  <c r="B17" i="5"/>
  <c r="C17" i="5"/>
  <c r="L14" i="5"/>
  <c r="K12" i="5"/>
  <c r="L13" i="5"/>
  <c r="B16" i="5"/>
  <c r="M16" i="5"/>
  <c r="L15" i="5"/>
  <c r="K14" i="5"/>
  <c r="J16" i="5"/>
  <c r="H15" i="5"/>
  <c r="G15" i="5"/>
  <c r="F15" i="5"/>
  <c r="E13" i="5"/>
  <c r="E15" i="5"/>
  <c r="D15" i="5"/>
  <c r="B13" i="5"/>
  <c r="E17" i="5"/>
  <c r="C15" i="5"/>
  <c r="C16" i="5"/>
  <c r="M14" i="5"/>
  <c r="M13" i="5"/>
  <c r="M15" i="5"/>
  <c r="B15" i="5"/>
  <c r="B43" i="3"/>
  <c r="B44" i="3" s="1"/>
  <c r="B36" i="3"/>
  <c r="B37" i="3" s="1"/>
  <c r="C34" i="3" s="1"/>
  <c r="B29" i="3"/>
  <c r="B30" i="3" s="1"/>
  <c r="C27" i="3" s="1"/>
  <c r="B22" i="3"/>
  <c r="C20" i="3" s="1"/>
  <c r="N2" i="2"/>
  <c r="B15" i="1" l="1"/>
  <c r="C10" i="1" s="1"/>
  <c r="D16" i="3"/>
  <c r="E13" i="3" s="1"/>
  <c r="E15" i="3" s="1"/>
  <c r="E16" i="3" s="1"/>
  <c r="C68" i="3"/>
  <c r="N19" i="10"/>
  <c r="H30" i="10"/>
  <c r="B28" i="5"/>
  <c r="N17" i="5"/>
  <c r="N12" i="5"/>
  <c r="N15" i="5"/>
  <c r="N16" i="5"/>
  <c r="N13" i="5"/>
  <c r="N14" i="5"/>
  <c r="C41" i="3"/>
  <c r="B48" i="3"/>
  <c r="C43" i="3"/>
  <c r="C44" i="3" s="1"/>
  <c r="C36" i="3"/>
  <c r="C37" i="3" s="1"/>
  <c r="D34" i="3" s="1"/>
  <c r="C29" i="3"/>
  <c r="C30" i="3"/>
  <c r="C22" i="3"/>
  <c r="C23" i="3" s="1"/>
  <c r="D20" i="3" s="1"/>
  <c r="C12" i="1" l="1"/>
  <c r="B16" i="1"/>
  <c r="D52" i="3"/>
  <c r="D27" i="3"/>
  <c r="C54" i="3"/>
  <c r="C25" i="5"/>
  <c r="D68" i="3"/>
  <c r="F13" i="3"/>
  <c r="F15" i="3" s="1"/>
  <c r="F16" i="3" s="1"/>
  <c r="E52" i="3"/>
  <c r="C13" i="1"/>
  <c r="C14" i="1"/>
  <c r="I30" i="10"/>
  <c r="D41" i="3"/>
  <c r="C48" i="3"/>
  <c r="D43" i="3"/>
  <c r="D44" i="3"/>
  <c r="D36" i="3"/>
  <c r="D37" i="3" s="1"/>
  <c r="D29" i="3"/>
  <c r="D30" i="3" s="1"/>
  <c r="D22" i="3"/>
  <c r="D23" i="3" s="1"/>
  <c r="C2" i="10" l="1"/>
  <c r="B2" i="8"/>
  <c r="B4" i="8" s="1"/>
  <c r="B6" i="8" s="1"/>
  <c r="C7" i="8" s="1"/>
  <c r="C15" i="1"/>
  <c r="D10" i="1" s="1"/>
  <c r="E34" i="3"/>
  <c r="D55" i="3"/>
  <c r="D71" i="3" s="1"/>
  <c r="E27" i="3"/>
  <c r="E29" i="3" s="1"/>
  <c r="E30" i="3" s="1"/>
  <c r="D54" i="3"/>
  <c r="D70" i="3" s="1"/>
  <c r="D26" i="5" s="1"/>
  <c r="C70" i="3"/>
  <c r="C58" i="3"/>
  <c r="E20" i="3"/>
  <c r="E22" i="3" s="1"/>
  <c r="E23" i="3" s="1"/>
  <c r="D53" i="3"/>
  <c r="E68" i="3"/>
  <c r="G13" i="3"/>
  <c r="G15" i="3" s="1"/>
  <c r="G16" i="3" s="1"/>
  <c r="F52" i="3"/>
  <c r="J30" i="10"/>
  <c r="E41" i="3"/>
  <c r="D48" i="3"/>
  <c r="E43" i="3"/>
  <c r="E44" i="3" s="1"/>
  <c r="E56" i="3" s="1"/>
  <c r="E72" i="3" s="1"/>
  <c r="E36" i="3"/>
  <c r="E37" i="3" s="1"/>
  <c r="D12" i="1" l="1"/>
  <c r="C4" i="10"/>
  <c r="C25" i="10"/>
  <c r="C18" i="10"/>
  <c r="C46" i="10" s="1"/>
  <c r="C16" i="1"/>
  <c r="B8" i="8"/>
  <c r="B16" i="8" s="1"/>
  <c r="E27" i="5"/>
  <c r="D24" i="5"/>
  <c r="F34" i="3"/>
  <c r="F36" i="3" s="1"/>
  <c r="F37" i="3" s="1"/>
  <c r="E55" i="3"/>
  <c r="E71" i="3" s="1"/>
  <c r="E24" i="5" s="1"/>
  <c r="F3" i="10" s="1"/>
  <c r="F27" i="3"/>
  <c r="F29" i="3" s="1"/>
  <c r="F30" i="3" s="1"/>
  <c r="E54" i="3"/>
  <c r="E70" i="3" s="1"/>
  <c r="E26" i="5" s="1"/>
  <c r="C26" i="5"/>
  <c r="C73" i="3"/>
  <c r="D69" i="3"/>
  <c r="D58" i="3"/>
  <c r="F20" i="3"/>
  <c r="F22" i="3" s="1"/>
  <c r="F23" i="3" s="1"/>
  <c r="E53" i="3"/>
  <c r="F68" i="3"/>
  <c r="H13" i="3"/>
  <c r="H15" i="3" s="1"/>
  <c r="H16" i="3" s="1"/>
  <c r="G52" i="3"/>
  <c r="D13" i="1"/>
  <c r="D14" i="1"/>
  <c r="K30" i="10"/>
  <c r="F41" i="3"/>
  <c r="F43" i="3" s="1"/>
  <c r="F44" i="3" s="1"/>
  <c r="F56" i="3" s="1"/>
  <c r="F72" i="3" s="1"/>
  <c r="F27" i="5" s="1"/>
  <c r="E48" i="3"/>
  <c r="C48" i="10" l="1"/>
  <c r="C27" i="10"/>
  <c r="C5" i="10"/>
  <c r="C7" i="10"/>
  <c r="C9" i="10" s="1"/>
  <c r="D2" i="10"/>
  <c r="C2" i="8"/>
  <c r="G34" i="3"/>
  <c r="G36" i="3" s="1"/>
  <c r="G37" i="3" s="1"/>
  <c r="F55" i="3"/>
  <c r="F71" i="3" s="1"/>
  <c r="F24" i="5" s="1"/>
  <c r="G3" i="10" s="1"/>
  <c r="E3" i="10"/>
  <c r="G27" i="3"/>
  <c r="G29" i="3" s="1"/>
  <c r="G30" i="3" s="1"/>
  <c r="F54" i="3"/>
  <c r="F70" i="3" s="1"/>
  <c r="C28" i="5"/>
  <c r="C3" i="8" s="1"/>
  <c r="D6" i="10"/>
  <c r="D24" i="10" s="1"/>
  <c r="D47" i="10" s="1"/>
  <c r="E69" i="3"/>
  <c r="E58" i="3"/>
  <c r="G20" i="3"/>
  <c r="G22" i="3" s="1"/>
  <c r="G23" i="3" s="1"/>
  <c r="F53" i="3"/>
  <c r="D25" i="5"/>
  <c r="D73" i="3"/>
  <c r="D15" i="1"/>
  <c r="G68" i="3"/>
  <c r="I13" i="3"/>
  <c r="I15" i="3" s="1"/>
  <c r="I16" i="3" s="1"/>
  <c r="H52" i="3"/>
  <c r="C10" i="10"/>
  <c r="L30" i="10"/>
  <c r="G41" i="3"/>
  <c r="G43" i="3" s="1"/>
  <c r="G44" i="3" s="1"/>
  <c r="G56" i="3" s="1"/>
  <c r="G72" i="3" s="1"/>
  <c r="G27" i="5" s="1"/>
  <c r="F48" i="3"/>
  <c r="D25" i="10" l="1"/>
  <c r="D48" i="10" s="1"/>
  <c r="D18" i="10"/>
  <c r="D46" i="10" s="1"/>
  <c r="D4" i="10"/>
  <c r="D5" i="10" s="1"/>
  <c r="D16" i="1"/>
  <c r="C4" i="8"/>
  <c r="C6" i="8" s="1"/>
  <c r="D7" i="8" s="1"/>
  <c r="E2" i="10"/>
  <c r="E18" i="10" s="1"/>
  <c r="E46" i="10" s="1"/>
  <c r="D2" i="8"/>
  <c r="E10" i="1"/>
  <c r="D7" i="10"/>
  <c r="D9" i="10" s="1"/>
  <c r="C8" i="8"/>
  <c r="H34" i="3"/>
  <c r="H36" i="3" s="1"/>
  <c r="H37" i="3" s="1"/>
  <c r="G55" i="3"/>
  <c r="G71" i="3" s="1"/>
  <c r="H27" i="3"/>
  <c r="G54" i="3"/>
  <c r="G70" i="3" s="1"/>
  <c r="G26" i="5" s="1"/>
  <c r="D27" i="10"/>
  <c r="F26" i="5"/>
  <c r="F69" i="3"/>
  <c r="F58" i="3"/>
  <c r="H20" i="3"/>
  <c r="H22" i="3" s="1"/>
  <c r="H23" i="3" s="1"/>
  <c r="G53" i="3"/>
  <c r="D28" i="5"/>
  <c r="D3" i="8" s="1"/>
  <c r="D4" i="8" s="1"/>
  <c r="D6" i="8" s="1"/>
  <c r="E6" i="10"/>
  <c r="E24" i="10" s="1"/>
  <c r="E47" i="10" s="1"/>
  <c r="E73" i="3"/>
  <c r="E25" i="5"/>
  <c r="H68" i="3"/>
  <c r="J13" i="3"/>
  <c r="J15" i="3" s="1"/>
  <c r="J16" i="3" s="1"/>
  <c r="I52" i="3"/>
  <c r="C31" i="10"/>
  <c r="C44" i="10"/>
  <c r="C49" i="10" s="1"/>
  <c r="C57" i="10" s="1"/>
  <c r="C59" i="10" s="1"/>
  <c r="M30" i="10"/>
  <c r="H41" i="3"/>
  <c r="H43" i="3" s="1"/>
  <c r="H44" i="3" s="1"/>
  <c r="H56" i="3" s="1"/>
  <c r="H72" i="3" s="1"/>
  <c r="H27" i="5" s="1"/>
  <c r="G48" i="3"/>
  <c r="H29" i="3"/>
  <c r="H30" i="3" s="1"/>
  <c r="E25" i="10" l="1"/>
  <c r="E4" i="10"/>
  <c r="E12" i="1"/>
  <c r="E13" i="1"/>
  <c r="E14" i="1"/>
  <c r="G24" i="5"/>
  <c r="I34" i="3"/>
  <c r="I36" i="3" s="1"/>
  <c r="I37" i="3" s="1"/>
  <c r="H55" i="3"/>
  <c r="H71" i="3" s="1"/>
  <c r="H24" i="5" s="1"/>
  <c r="I3" i="10" s="1"/>
  <c r="I27" i="3"/>
  <c r="I29" i="3" s="1"/>
  <c r="I30" i="3" s="1"/>
  <c r="H54" i="3"/>
  <c r="H70" i="3" s="1"/>
  <c r="E28" i="5"/>
  <c r="E3" i="8" s="1"/>
  <c r="F6" i="10"/>
  <c r="F24" i="10" s="1"/>
  <c r="F47" i="10" s="1"/>
  <c r="G69" i="3"/>
  <c r="G58" i="3"/>
  <c r="I20" i="3"/>
  <c r="I22" i="3" s="1"/>
  <c r="I23" i="3" s="1"/>
  <c r="H53" i="3"/>
  <c r="F25" i="5"/>
  <c r="F73" i="3"/>
  <c r="K13" i="3"/>
  <c r="K15" i="3" s="1"/>
  <c r="K16" i="3" s="1"/>
  <c r="J52" i="3"/>
  <c r="I68" i="3"/>
  <c r="D10" i="10"/>
  <c r="D31" i="10" s="1"/>
  <c r="C33" i="10"/>
  <c r="E7" i="8"/>
  <c r="D8" i="8"/>
  <c r="D58" i="10"/>
  <c r="C17" i="10"/>
  <c r="C21" i="10" s="1"/>
  <c r="E27" i="10"/>
  <c r="E48" i="10"/>
  <c r="E5" i="10"/>
  <c r="E7" i="10"/>
  <c r="N30" i="10"/>
  <c r="I41" i="3"/>
  <c r="H48" i="3"/>
  <c r="I43" i="3"/>
  <c r="I44" i="3" s="1"/>
  <c r="I56" i="3" s="1"/>
  <c r="I72" i="3" s="1"/>
  <c r="I27" i="5" s="1"/>
  <c r="J34" i="3" l="1"/>
  <c r="I55" i="3"/>
  <c r="I71" i="3" s="1"/>
  <c r="I24" i="5" s="1"/>
  <c r="J3" i="10" s="1"/>
  <c r="H3" i="10"/>
  <c r="J27" i="3"/>
  <c r="J29" i="3" s="1"/>
  <c r="J30" i="3" s="1"/>
  <c r="I54" i="3"/>
  <c r="I70" i="3" s="1"/>
  <c r="I26" i="5" s="1"/>
  <c r="H26" i="5"/>
  <c r="J20" i="3"/>
  <c r="J22" i="3" s="1"/>
  <c r="J23" i="3" s="1"/>
  <c r="I53" i="3"/>
  <c r="G6" i="10"/>
  <c r="G24" i="10" s="1"/>
  <c r="G47" i="10" s="1"/>
  <c r="F28" i="5"/>
  <c r="F3" i="8" s="1"/>
  <c r="G73" i="3"/>
  <c r="G25" i="5"/>
  <c r="H69" i="3"/>
  <c r="H58" i="3"/>
  <c r="C35" i="10"/>
  <c r="J68" i="3"/>
  <c r="L13" i="3"/>
  <c r="L15" i="3" s="1"/>
  <c r="L16" i="3" s="1"/>
  <c r="K52" i="3"/>
  <c r="D33" i="10"/>
  <c r="E9" i="10"/>
  <c r="D44" i="10"/>
  <c r="D49" i="10" s="1"/>
  <c r="D57" i="10" s="1"/>
  <c r="D59" i="10" s="1"/>
  <c r="J41" i="3"/>
  <c r="J43" i="3" s="1"/>
  <c r="J44" i="3" s="1"/>
  <c r="J56" i="3" s="1"/>
  <c r="J72" i="3" s="1"/>
  <c r="J27" i="5" s="1"/>
  <c r="I48" i="3"/>
  <c r="J36" i="3"/>
  <c r="J37" i="3" s="1"/>
  <c r="K34" i="3" l="1"/>
  <c r="K36" i="3" s="1"/>
  <c r="K37" i="3" s="1"/>
  <c r="J55" i="3"/>
  <c r="J71" i="3" s="1"/>
  <c r="K27" i="3"/>
  <c r="J54" i="3"/>
  <c r="J70" i="3" s="1"/>
  <c r="G28" i="5"/>
  <c r="G3" i="8" s="1"/>
  <c r="H6" i="10"/>
  <c r="H24" i="10" s="1"/>
  <c r="H47" i="10" s="1"/>
  <c r="H73" i="3"/>
  <c r="H25" i="5"/>
  <c r="K20" i="3"/>
  <c r="K22" i="3" s="1"/>
  <c r="K23" i="3" s="1"/>
  <c r="J53" i="3"/>
  <c r="I69" i="3"/>
  <c r="I58" i="3"/>
  <c r="K68" i="3"/>
  <c r="M13" i="3"/>
  <c r="M15" i="3" s="1"/>
  <c r="M16" i="3" s="1"/>
  <c r="L52" i="3"/>
  <c r="E58" i="10"/>
  <c r="D17" i="10"/>
  <c r="D21" i="10" s="1"/>
  <c r="D35" i="10" s="1"/>
  <c r="E10" i="10"/>
  <c r="K41" i="3"/>
  <c r="K43" i="3" s="1"/>
  <c r="K44" i="3" s="1"/>
  <c r="K56" i="3" s="1"/>
  <c r="K72" i="3" s="1"/>
  <c r="K27" i="5" s="1"/>
  <c r="J48" i="3"/>
  <c r="K29" i="3"/>
  <c r="K30" i="3" s="1"/>
  <c r="J24" i="5" l="1"/>
  <c r="L34" i="3"/>
  <c r="K55" i="3"/>
  <c r="K71" i="3" s="1"/>
  <c r="K24" i="5" s="1"/>
  <c r="L3" i="10" s="1"/>
  <c r="L27" i="3"/>
  <c r="K54" i="3"/>
  <c r="K70" i="3" s="1"/>
  <c r="K26" i="5" s="1"/>
  <c r="J26" i="5"/>
  <c r="L20" i="3"/>
  <c r="K53" i="3"/>
  <c r="J69" i="3"/>
  <c r="J58" i="3"/>
  <c r="I6" i="10"/>
  <c r="I24" i="10" s="1"/>
  <c r="I47" i="10" s="1"/>
  <c r="H28" i="5"/>
  <c r="H3" i="8" s="1"/>
  <c r="I73" i="3"/>
  <c r="I25" i="5"/>
  <c r="L68" i="3"/>
  <c r="E2" i="7"/>
  <c r="M52" i="3"/>
  <c r="E44" i="10"/>
  <c r="E49" i="10" s="1"/>
  <c r="E57" i="10" s="1"/>
  <c r="E59" i="10" s="1"/>
  <c r="E31" i="10"/>
  <c r="L41" i="3"/>
  <c r="L43" i="3" s="1"/>
  <c r="L44" i="3" s="1"/>
  <c r="L56" i="3" s="1"/>
  <c r="L72" i="3" s="1"/>
  <c r="L27" i="5" s="1"/>
  <c r="K48" i="3"/>
  <c r="L36" i="3"/>
  <c r="L37" i="3" s="1"/>
  <c r="L29" i="3"/>
  <c r="L30" i="3" s="1"/>
  <c r="L22" i="3"/>
  <c r="L23" i="3" s="1"/>
  <c r="M34" i="3" l="1"/>
  <c r="L55" i="3"/>
  <c r="L71" i="3" s="1"/>
  <c r="L24" i="5" s="1"/>
  <c r="M3" i="10" s="1"/>
  <c r="K3" i="10"/>
  <c r="M27" i="3"/>
  <c r="L54" i="3"/>
  <c r="L70" i="3" s="1"/>
  <c r="M20" i="3"/>
  <c r="M22" i="3" s="1"/>
  <c r="M23" i="3" s="1"/>
  <c r="L53" i="3"/>
  <c r="J25" i="5"/>
  <c r="J73" i="3"/>
  <c r="K69" i="3"/>
  <c r="K58" i="3"/>
  <c r="I28" i="5"/>
  <c r="I3" i="8" s="1"/>
  <c r="J6" i="10"/>
  <c r="J24" i="10" s="1"/>
  <c r="J47" i="10" s="1"/>
  <c r="M68" i="3"/>
  <c r="F58" i="10"/>
  <c r="E17" i="10"/>
  <c r="E21" i="10" s="1"/>
  <c r="E33" i="10"/>
  <c r="M41" i="3"/>
  <c r="M43" i="3" s="1"/>
  <c r="M44" i="3" s="1"/>
  <c r="L48" i="3"/>
  <c r="M36" i="3"/>
  <c r="M37" i="3" s="1"/>
  <c r="M29" i="3"/>
  <c r="M30" i="3" s="1"/>
  <c r="M56" i="3" l="1"/>
  <c r="M72" i="3" s="1"/>
  <c r="E6" i="7"/>
  <c r="M55" i="3"/>
  <c r="M71" i="3" s="1"/>
  <c r="E5" i="7"/>
  <c r="E4" i="7"/>
  <c r="M54" i="3"/>
  <c r="M70" i="3" s="1"/>
  <c r="M26" i="5" s="1"/>
  <c r="L26" i="5"/>
  <c r="B79" i="3"/>
  <c r="B4" i="7" s="1"/>
  <c r="D4" i="7" s="1"/>
  <c r="F4" i="7" s="1"/>
  <c r="M53" i="3"/>
  <c r="E3" i="7"/>
  <c r="K6" i="10"/>
  <c r="K24" i="10" s="1"/>
  <c r="K47" i="10" s="1"/>
  <c r="J28" i="5"/>
  <c r="J3" i="8" s="1"/>
  <c r="M48" i="3"/>
  <c r="K25" i="5"/>
  <c r="K73" i="3"/>
  <c r="L69" i="3"/>
  <c r="L58" i="3"/>
  <c r="B77" i="3"/>
  <c r="B2" i="7" s="1"/>
  <c r="D2" i="7" s="1"/>
  <c r="E35" i="10"/>
  <c r="F11" i="1"/>
  <c r="E15" i="1"/>
  <c r="F10" i="1" l="1"/>
  <c r="M27" i="5"/>
  <c r="N27" i="5" s="1"/>
  <c r="B81" i="3"/>
  <c r="B6" i="7" s="1"/>
  <c r="D6" i="7" s="1"/>
  <c r="F6" i="7" s="1"/>
  <c r="M24" i="5"/>
  <c r="B80" i="3"/>
  <c r="B5" i="7" s="1"/>
  <c r="D5" i="7" s="1"/>
  <c r="F5" i="7" s="1"/>
  <c r="N26" i="5"/>
  <c r="K28" i="5"/>
  <c r="K3" i="8" s="1"/>
  <c r="L6" i="10"/>
  <c r="L24" i="10" s="1"/>
  <c r="L47" i="10" s="1"/>
  <c r="L73" i="3"/>
  <c r="L25" i="5"/>
  <c r="M69" i="3"/>
  <c r="M58" i="3"/>
  <c r="B60" i="3" s="1"/>
  <c r="B63" i="3" s="1"/>
  <c r="B65" i="3" s="1"/>
  <c r="F2" i="7"/>
  <c r="E16" i="1"/>
  <c r="F12" i="1"/>
  <c r="F14" i="1"/>
  <c r="F13" i="1"/>
  <c r="F2" i="10"/>
  <c r="G11" i="1"/>
  <c r="H11" i="1" s="1"/>
  <c r="I11" i="1" s="1"/>
  <c r="J11" i="1" s="1"/>
  <c r="K11" i="1" s="1"/>
  <c r="L11" i="1" s="1"/>
  <c r="M11" i="1" s="1"/>
  <c r="E2" i="8"/>
  <c r="E4" i="8" s="1"/>
  <c r="N11" i="1" l="1"/>
  <c r="N3" i="10"/>
  <c r="O3" i="10" s="1"/>
  <c r="N24" i="5"/>
  <c r="B33" i="5" s="1"/>
  <c r="B34" i="5" s="1"/>
  <c r="M73" i="3"/>
  <c r="B82" i="3" s="1"/>
  <c r="B78" i="3"/>
  <c r="B3" i="7" s="1"/>
  <c r="D3" i="7" s="1"/>
  <c r="M25" i="5"/>
  <c r="M6" i="10"/>
  <c r="M24" i="10" s="1"/>
  <c r="M47" i="10" s="1"/>
  <c r="L28" i="5"/>
  <c r="L3" i="8" s="1"/>
  <c r="F15" i="1"/>
  <c r="B5" i="2"/>
  <c r="B18" i="2" s="1"/>
  <c r="B19" i="2" s="1"/>
  <c r="E6" i="8"/>
  <c r="F25" i="10"/>
  <c r="F18" i="10"/>
  <c r="F46" i="10" s="1"/>
  <c r="F4" i="10"/>
  <c r="G10" i="1" l="1"/>
  <c r="G14" i="1" s="1"/>
  <c r="J2" i="2"/>
  <c r="C11" i="12"/>
  <c r="N6" i="10"/>
  <c r="M28" i="5"/>
  <c r="M3" i="8" s="1"/>
  <c r="N25" i="5"/>
  <c r="F3" i="7"/>
  <c r="B10" i="7"/>
  <c r="F16" i="1"/>
  <c r="F2" i="8" s="1"/>
  <c r="F4" i="8" s="1"/>
  <c r="F5" i="10"/>
  <c r="F7" i="10"/>
  <c r="F48" i="10"/>
  <c r="F27" i="10"/>
  <c r="E8" i="8"/>
  <c r="F7" i="8"/>
  <c r="G13" i="1" l="1"/>
  <c r="G12" i="1"/>
  <c r="N24" i="10"/>
  <c r="N47" i="10" s="1"/>
  <c r="O6" i="10"/>
  <c r="N28" i="5"/>
  <c r="G2" i="10"/>
  <c r="G18" i="10" s="1"/>
  <c r="G46" i="10" s="1"/>
  <c r="G15" i="1"/>
  <c r="G16" i="1" s="1"/>
  <c r="G4" i="10"/>
  <c r="G25" i="10"/>
  <c r="F6" i="8"/>
  <c r="G7" i="8" s="1"/>
  <c r="F9" i="10"/>
  <c r="G2" i="7" l="1"/>
  <c r="B35" i="5"/>
  <c r="B36" i="5" s="1"/>
  <c r="B11" i="7"/>
  <c r="B12" i="7" s="1"/>
  <c r="G3" i="7"/>
  <c r="G4" i="7"/>
  <c r="G6" i="7"/>
  <c r="G5" i="7"/>
  <c r="F8" i="8"/>
  <c r="H10" i="1"/>
  <c r="H13" i="1" s="1"/>
  <c r="F10" i="10"/>
  <c r="G27" i="10"/>
  <c r="G48" i="10"/>
  <c r="G5" i="10"/>
  <c r="G7" i="10"/>
  <c r="G2" i="8"/>
  <c r="G4" i="8" s="1"/>
  <c r="H2" i="10"/>
  <c r="H25" i="10" s="1"/>
  <c r="H14" i="1" l="1"/>
  <c r="H12" i="1"/>
  <c r="H48" i="10"/>
  <c r="H27" i="10"/>
  <c r="G9" i="10"/>
  <c r="H4" i="10"/>
  <c r="H18" i="10"/>
  <c r="H46" i="10" s="1"/>
  <c r="G6" i="8"/>
  <c r="F44" i="10"/>
  <c r="F49" i="10" s="1"/>
  <c r="F57" i="10" s="1"/>
  <c r="F59" i="10" s="1"/>
  <c r="F31" i="10"/>
  <c r="H15" i="1" l="1"/>
  <c r="I10" i="1" s="1"/>
  <c r="H16" i="1"/>
  <c r="H2" i="8" s="1"/>
  <c r="H4" i="8" s="1"/>
  <c r="H7" i="8"/>
  <c r="G8" i="8"/>
  <c r="H5" i="10"/>
  <c r="H7" i="10"/>
  <c r="G10" i="10"/>
  <c r="F33" i="10"/>
  <c r="G31" i="10"/>
  <c r="G58" i="10"/>
  <c r="F17" i="10"/>
  <c r="F21" i="10" s="1"/>
  <c r="I2" i="10"/>
  <c r="I12" i="1"/>
  <c r="I14" i="1"/>
  <c r="I13" i="1"/>
  <c r="I15" i="1" l="1"/>
  <c r="I16" i="1" s="1"/>
  <c r="G44" i="10"/>
  <c r="G49" i="10" s="1"/>
  <c r="G57" i="10" s="1"/>
  <c r="G59" i="10" s="1"/>
  <c r="G33" i="10"/>
  <c r="H9" i="10"/>
  <c r="H6" i="8"/>
  <c r="H8" i="8" s="1"/>
  <c r="I4" i="10"/>
  <c r="I18" i="10"/>
  <c r="I46" i="10" s="1"/>
  <c r="I25" i="10"/>
  <c r="F35" i="10"/>
  <c r="J10" i="1" l="1"/>
  <c r="J12" i="1" s="1"/>
  <c r="I7" i="8"/>
  <c r="I27" i="10"/>
  <c r="I48" i="10"/>
  <c r="G17" i="10"/>
  <c r="G21" i="10" s="1"/>
  <c r="G35" i="10" s="1"/>
  <c r="H58" i="10"/>
  <c r="H10" i="10"/>
  <c r="J13" i="1"/>
  <c r="I5" i="10"/>
  <c r="I7" i="10"/>
  <c r="J2" i="10"/>
  <c r="I2" i="8"/>
  <c r="I4" i="8" s="1"/>
  <c r="J14" i="1" l="1"/>
  <c r="J15" i="1" s="1"/>
  <c r="J16" i="1" s="1"/>
  <c r="H44" i="10"/>
  <c r="H49" i="10" s="1"/>
  <c r="H57" i="10" s="1"/>
  <c r="H59" i="10" s="1"/>
  <c r="H31" i="10"/>
  <c r="I6" i="8"/>
  <c r="J18" i="10"/>
  <c r="J46" i="10" s="1"/>
  <c r="J4" i="10"/>
  <c r="I9" i="10"/>
  <c r="J25" i="10"/>
  <c r="K10" i="1" l="1"/>
  <c r="I58" i="10"/>
  <c r="H17" i="10"/>
  <c r="H21" i="10" s="1"/>
  <c r="H33" i="10"/>
  <c r="J48" i="10"/>
  <c r="J27" i="10"/>
  <c r="K12" i="1"/>
  <c r="K13" i="1"/>
  <c r="K14" i="1"/>
  <c r="I10" i="10"/>
  <c r="I31" i="10" s="1"/>
  <c r="J7" i="10"/>
  <c r="J5" i="10"/>
  <c r="J7" i="8"/>
  <c r="I8" i="8"/>
  <c r="K2" i="10"/>
  <c r="J2" i="8"/>
  <c r="J4" i="8" s="1"/>
  <c r="J6" i="8" s="1"/>
  <c r="H35" i="10" l="1"/>
  <c r="K15" i="1"/>
  <c r="K16" i="1" s="1"/>
  <c r="K4" i="10"/>
  <c r="K18" i="10"/>
  <c r="K46" i="10" s="1"/>
  <c r="K7" i="8"/>
  <c r="J8" i="8"/>
  <c r="K25" i="10"/>
  <c r="J9" i="10"/>
  <c r="I33" i="10"/>
  <c r="I44" i="10"/>
  <c r="I49" i="10" s="1"/>
  <c r="I57" i="10" s="1"/>
  <c r="I59" i="10" s="1"/>
  <c r="L10" i="1" l="1"/>
  <c r="L13" i="1" s="1"/>
  <c r="J58" i="10"/>
  <c r="I17" i="10"/>
  <c r="I21" i="10" s="1"/>
  <c r="I35" i="10" s="1"/>
  <c r="J10" i="10"/>
  <c r="K48" i="10"/>
  <c r="K27" i="10"/>
  <c r="K7" i="10"/>
  <c r="K9" i="10" s="1"/>
  <c r="K10" i="10" s="1"/>
  <c r="K44" i="10" s="1"/>
  <c r="K5" i="10"/>
  <c r="K2" i="8"/>
  <c r="K4" i="8" s="1"/>
  <c r="K6" i="8" s="1"/>
  <c r="L7" i="8" s="1"/>
  <c r="L2" i="10"/>
  <c r="K49" i="10" l="1"/>
  <c r="K57" i="10" s="1"/>
  <c r="L12" i="1"/>
  <c r="L14" i="1"/>
  <c r="L18" i="10"/>
  <c r="L46" i="10" s="1"/>
  <c r="L4" i="10"/>
  <c r="L25" i="10"/>
  <c r="J44" i="10"/>
  <c r="J49" i="10" s="1"/>
  <c r="J57" i="10" s="1"/>
  <c r="J59" i="10" s="1"/>
  <c r="J31" i="10"/>
  <c r="K8" i="8"/>
  <c r="L15" i="1" l="1"/>
  <c r="M10" i="1" s="1"/>
  <c r="N10" i="1" s="1"/>
  <c r="K58" i="10"/>
  <c r="K59" i="10" s="1"/>
  <c r="J17" i="10"/>
  <c r="J21" i="10" s="1"/>
  <c r="J33" i="10"/>
  <c r="K31" i="10"/>
  <c r="L48" i="10"/>
  <c r="L27" i="10"/>
  <c r="L5" i="10"/>
  <c r="L7" i="10"/>
  <c r="L9" i="10" s="1"/>
  <c r="L10" i="10" s="1"/>
  <c r="L44" i="10" s="1"/>
  <c r="L49" i="10" s="1"/>
  <c r="L57" i="10" s="1"/>
  <c r="M14" i="1"/>
  <c r="N14" i="1" s="1"/>
  <c r="M12" i="1"/>
  <c r="N12" i="1" s="1"/>
  <c r="M13" i="1"/>
  <c r="N13" i="1" s="1"/>
  <c r="L16" i="1" l="1"/>
  <c r="M2" i="10" s="1"/>
  <c r="M18" i="10" s="1"/>
  <c r="M46" i="10" s="1"/>
  <c r="M15" i="1"/>
  <c r="L31" i="10"/>
  <c r="K33" i="10"/>
  <c r="J35" i="10"/>
  <c r="L58" i="10"/>
  <c r="L59" i="10" s="1"/>
  <c r="K17" i="10"/>
  <c r="K21" i="10" s="1"/>
  <c r="M16" i="1" l="1"/>
  <c r="N18" i="1" s="1"/>
  <c r="N15" i="1"/>
  <c r="M25" i="10"/>
  <c r="M27" i="10" s="1"/>
  <c r="M4" i="10"/>
  <c r="L2" i="8"/>
  <c r="L4" i="8" s="1"/>
  <c r="L6" i="8" s="1"/>
  <c r="M7" i="8" s="1"/>
  <c r="M5" i="10"/>
  <c r="M7" i="10"/>
  <c r="M9" i="10" s="1"/>
  <c r="M10" i="10" s="1"/>
  <c r="M44" i="10" s="1"/>
  <c r="M58" i="10"/>
  <c r="L17" i="10"/>
  <c r="L21" i="10" s="1"/>
  <c r="L33" i="10"/>
  <c r="K35" i="10"/>
  <c r="N2" i="10" l="1"/>
  <c r="I11" i="12"/>
  <c r="A7" i="12"/>
  <c r="M2" i="8"/>
  <c r="M4" i="8" s="1"/>
  <c r="N16" i="1"/>
  <c r="M48" i="10"/>
  <c r="M49" i="10" s="1"/>
  <c r="M57" i="10" s="1"/>
  <c r="M59" i="10" s="1"/>
  <c r="N58" i="10" s="1"/>
  <c r="L8" i="8"/>
  <c r="N25" i="10"/>
  <c r="N48" i="10" s="1"/>
  <c r="O2" i="10"/>
  <c r="J2" i="11" s="1"/>
  <c r="N18" i="10"/>
  <c r="N46" i="10" s="1"/>
  <c r="N4" i="10"/>
  <c r="O4" i="10" s="1"/>
  <c r="M31" i="10"/>
  <c r="M33" i="10" s="1"/>
  <c r="L35" i="10"/>
  <c r="N27" i="10" l="1"/>
  <c r="M6" i="8"/>
  <c r="B12" i="8"/>
  <c r="N7" i="10"/>
  <c r="N5" i="10"/>
  <c r="M17" i="10"/>
  <c r="M21" i="10" s="1"/>
  <c r="M35" i="10" s="1"/>
  <c r="N9" i="10"/>
  <c r="O7" i="10"/>
  <c r="J3" i="11" l="1"/>
  <c r="K7" i="12"/>
  <c r="O5" i="10"/>
  <c r="I7" i="12"/>
  <c r="M8" i="8"/>
  <c r="B13" i="8"/>
  <c r="B14" i="8"/>
  <c r="N10" i="10"/>
  <c r="O9" i="10"/>
  <c r="N44" i="10" l="1"/>
  <c r="N49" i="10" s="1"/>
  <c r="N57" i="10" s="1"/>
  <c r="N59" i="10" s="1"/>
  <c r="O10" i="10"/>
  <c r="J4" i="11" s="1"/>
  <c r="N31" i="10"/>
  <c r="N33" i="10" s="1"/>
  <c r="J5" i="11" l="1"/>
  <c r="E11" i="12"/>
  <c r="N17" i="10"/>
  <c r="N21" i="10" s="1"/>
  <c r="N35" i="10" s="1"/>
</calcChain>
</file>

<file path=xl/sharedStrings.xml><?xml version="1.0" encoding="utf-8"?>
<sst xmlns="http://schemas.openxmlformats.org/spreadsheetml/2006/main" count="470" uniqueCount="289">
  <si>
    <t>Beginning ARR (Jan)</t>
  </si>
  <si>
    <t>New ARR - Q1 monthly</t>
  </si>
  <si>
    <t>New ARR MoM growth (post-Q1)</t>
  </si>
  <si>
    <t>Monthly churn %</t>
  </si>
  <si>
    <t>Monthly expansion %</t>
  </si>
  <si>
    <t>Monthly contraction %</t>
  </si>
  <si>
    <t>Jan</t>
  </si>
  <si>
    <t>Feb</t>
  </si>
  <si>
    <t>Mar</t>
  </si>
  <si>
    <t>Apr</t>
  </si>
  <si>
    <t>May</t>
  </si>
  <si>
    <t>Jun</t>
  </si>
  <si>
    <t>Jul</t>
  </si>
  <si>
    <t>Aug</t>
  </si>
  <si>
    <t>Sep</t>
  </si>
  <si>
    <t>Oct</t>
  </si>
  <si>
    <t>Nov</t>
  </si>
  <si>
    <t>Dec</t>
  </si>
  <si>
    <t>Beginning ARR</t>
  </si>
  <si>
    <t>New ARR</t>
  </si>
  <si>
    <t>Expansion</t>
  </si>
  <si>
    <t>Churn</t>
  </si>
  <si>
    <t>Contraction</t>
  </si>
  <si>
    <t>Ending ARR</t>
  </si>
  <si>
    <t>Monthly Recognized Revenue</t>
  </si>
  <si>
    <t>FY26 Revenue</t>
  </si>
  <si>
    <t>Total</t>
  </si>
  <si>
    <t>Total Customers</t>
  </si>
  <si>
    <t>Annual Gross Churn</t>
  </si>
  <si>
    <t>Gross Margin</t>
  </si>
  <si>
    <t>FY26 New ARR</t>
  </si>
  <si>
    <t>New Customers</t>
  </si>
  <si>
    <t>Total S&amp;M Spend</t>
  </si>
  <si>
    <t>Monthly Expansion</t>
  </si>
  <si>
    <t>Monthly Churn</t>
  </si>
  <si>
    <t>Monthly Contraction</t>
  </si>
  <si>
    <t>Annual GRR</t>
  </si>
  <si>
    <t>Annual NRR</t>
  </si>
  <si>
    <t>CAC</t>
  </si>
  <si>
    <t>Avg New ARR per Customer</t>
  </si>
  <si>
    <t>CAC Payback (Months)</t>
  </si>
  <si>
    <t>Avg ARR per Customer</t>
  </si>
  <si>
    <t>LTV</t>
  </si>
  <si>
    <t>LTV:CAC</t>
  </si>
  <si>
    <t>NRR</t>
  </si>
  <si>
    <t>NimbusDesk FY26 Customer Metrics Dashboard</t>
  </si>
  <si>
    <t>CAC Payback</t>
  </si>
  <si>
    <t>GRR</t>
  </si>
  <si>
    <t xml:space="preserve">Healthy </t>
  </si>
  <si>
    <t>Status</t>
  </si>
  <si>
    <t>KPI</t>
  </si>
  <si>
    <t>Needs Improvement</t>
  </si>
  <si>
    <t xml:space="preserve">Below Target </t>
  </si>
  <si>
    <t>Weak</t>
  </si>
  <si>
    <t>Metric</t>
  </si>
  <si>
    <t>Months</t>
  </si>
  <si>
    <t>Board Target</t>
  </si>
  <si>
    <t>Company Reported</t>
  </si>
  <si>
    <t>Model Result</t>
  </si>
  <si>
    <t>Key Matrics</t>
  </si>
  <si>
    <t>Acquisition S&amp;M %</t>
  </si>
  <si>
    <t>jan</t>
  </si>
  <si>
    <t>feb</t>
  </si>
  <si>
    <t>mar</t>
  </si>
  <si>
    <t>apr</t>
  </si>
  <si>
    <t>may</t>
  </si>
  <si>
    <t>jun</t>
  </si>
  <si>
    <t>jul</t>
  </si>
  <si>
    <t>aug</t>
  </si>
  <si>
    <t>sep</t>
  </si>
  <si>
    <t>oct</t>
  </si>
  <si>
    <t>nov</t>
  </si>
  <si>
    <t>dec</t>
  </si>
  <si>
    <t>Beginning HC</t>
  </si>
  <si>
    <t>New Hires</t>
  </si>
  <si>
    <t>Attrition</t>
  </si>
  <si>
    <t>Ending HC</t>
  </si>
  <si>
    <t>Department</t>
  </si>
  <si>
    <t>Start HC</t>
  </si>
  <si>
    <t>Salary</t>
  </si>
  <si>
    <t>Loading</t>
  </si>
  <si>
    <t>Sales</t>
  </si>
  <si>
    <t>Marketing</t>
  </si>
  <si>
    <t>R&amp;D</t>
  </si>
  <si>
    <t>Customer Success</t>
  </si>
  <si>
    <t>G&amp;A</t>
  </si>
  <si>
    <t>MARKETING</t>
  </si>
  <si>
    <t>TOTAL COMPANY HC</t>
  </si>
  <si>
    <t>FULLY LOADED PEOPLE COST</t>
  </si>
  <si>
    <t>Sales Cost</t>
  </si>
  <si>
    <t>Marketing Cost</t>
  </si>
  <si>
    <t>R&amp;D Cost</t>
  </si>
  <si>
    <t>Customer Success Cost</t>
  </si>
  <si>
    <t>G&amp;A Cost</t>
  </si>
  <si>
    <t>Total People Cost</t>
  </si>
  <si>
    <t>FY26 Total People Cost</t>
  </si>
  <si>
    <t>USD/AED Exchange Rate</t>
  </si>
  <si>
    <t>People Cost (USD)</t>
  </si>
  <si>
    <t>FY26 Revenue (USD)</t>
  </si>
  <si>
    <t>People Cost % Revenue</t>
  </si>
  <si>
    <t>Annual Quota per Rep</t>
  </si>
  <si>
    <t>Quota Attainment</t>
  </si>
  <si>
    <t>Quota Carrying %</t>
  </si>
  <si>
    <t>New ARR Target</t>
  </si>
  <si>
    <t>December Sales HC</t>
  </si>
  <si>
    <t>Quota Carrying Reps</t>
  </si>
  <si>
    <t>Starting Sales HC</t>
  </si>
  <si>
    <t>Monthly Quota Per Rep</t>
  </si>
  <si>
    <t>Monthly Capacity from Tenured Reps</t>
  </si>
  <si>
    <t>Ramp Assumptions</t>
  </si>
  <si>
    <t>Months Since Hire</t>
  </si>
  <si>
    <t>5+</t>
  </si>
  <si>
    <t>Productivity</t>
  </si>
  <si>
    <t>Sales Hire Cohorts</t>
  </si>
  <si>
    <t>Cohort</t>
  </si>
  <si>
    <t>Feb Hires</t>
  </si>
  <si>
    <t>May Hires</t>
  </si>
  <si>
    <t>Aug Hires</t>
  </si>
  <si>
    <t>Oct Hires</t>
  </si>
  <si>
    <t>Monthly Capacity by Cohort</t>
  </si>
  <si>
    <t>Feb Hires Capacity</t>
  </si>
  <si>
    <t>May Hires Capacity</t>
  </si>
  <si>
    <t>Aug Hires Capacity</t>
  </si>
  <si>
    <t>Oct Hires Capacity</t>
  </si>
  <si>
    <t>Capacity per Fully Ramped Cohort</t>
  </si>
  <si>
    <t>Total New Hire Capacity</t>
  </si>
  <si>
    <t>Tenured Rep Capacity</t>
  </si>
  <si>
    <t>Total Monthly Capacity</t>
  </si>
  <si>
    <t>FY26 Ramp Adjusted Capacity</t>
  </si>
  <si>
    <t>Coverage Ratio</t>
  </si>
  <si>
    <t>The ramp-adjusted sales capacity is approximately $12.5M, providing 3.06x coverage against the FY26 New ARR target of $4.08M. Even after accounting for the productivity ramp of new hires, the sales organization has significantly more capacity than required to achieve the planned revenue target. Management should reassess either the New ARR target or the planned sales hiring plan, as maintaining excess sales capacity increases operating costs and conflicts with the board's objective of reducing cash burn.</t>
  </si>
  <si>
    <t>Category</t>
  </si>
  <si>
    <t>Annual Cost</t>
  </si>
  <si>
    <t>Monthly Cost</t>
  </si>
  <si>
    <t>Maps To</t>
  </si>
  <si>
    <t>Marketing Programs</t>
  </si>
  <si>
    <t>S&amp;M</t>
  </si>
  <si>
    <t>Hosting / Cloud</t>
  </si>
  <si>
    <t>Cost of Revenue</t>
  </si>
  <si>
    <t>Software &amp; Tools</t>
  </si>
  <si>
    <t>Shared</t>
  </si>
  <si>
    <t>Facilities &amp; Office</t>
  </si>
  <si>
    <t>Professional Services</t>
  </si>
  <si>
    <t>Travel &amp; Entertainment</t>
  </si>
  <si>
    <t>Other / Contingency</t>
  </si>
  <si>
    <t>Annual Total</t>
  </si>
  <si>
    <t>P&amp;L Functional Summary</t>
  </si>
  <si>
    <t>Function</t>
  </si>
  <si>
    <t>Sales &amp; Marketing</t>
  </si>
  <si>
    <t>Research &amp; Development</t>
  </si>
  <si>
    <t>General &amp; Administrative</t>
  </si>
  <si>
    <t>Total OpEx</t>
  </si>
  <si>
    <t>Analysis</t>
  </si>
  <si>
    <t>OpEx % of Revenue</t>
  </si>
  <si>
    <t>MONTHLY PEOPLE COST (USD)</t>
  </si>
  <si>
    <t>Sales Cost (USD)</t>
  </si>
  <si>
    <t>Marketing Cost (USD)</t>
  </si>
  <si>
    <t>R&amp;D Cost (USD)</t>
  </si>
  <si>
    <t>Customer Success Cost (USD)</t>
  </si>
  <si>
    <t>G&amp;A Cost (USD)</t>
  </si>
  <si>
    <t>Total People Cost (USD)</t>
  </si>
  <si>
    <t xml:space="preserve"> People Cost (USD) </t>
  </si>
  <si>
    <t xml:space="preserve"> Non-People Cost </t>
  </si>
  <si>
    <t xml:space="preserve"> Total Budget</t>
  </si>
  <si>
    <t xml:space="preserve"> Cost per Head</t>
  </si>
  <si>
    <t>Formula</t>
  </si>
  <si>
    <t>Annual People Cost (USD)</t>
  </si>
  <si>
    <t>A</t>
  </si>
  <si>
    <t>B</t>
  </si>
  <si>
    <t>Total Department Budget</t>
  </si>
  <si>
    <t>Total OpEx (Phase 5)</t>
  </si>
  <si>
    <t>Reconciliation Check</t>
  </si>
  <si>
    <t>Revenue</t>
  </si>
  <si>
    <t>Operating Burn</t>
  </si>
  <si>
    <t>Non-Cash Add Back</t>
  </si>
  <si>
    <t>Operating Cash Burn</t>
  </si>
  <si>
    <t>Beginning Cash</t>
  </si>
  <si>
    <t>Ending Cash</t>
  </si>
  <si>
    <t>FY26 Operating Loss</t>
  </si>
  <si>
    <t>FY26 Operating Cash Burn</t>
  </si>
  <si>
    <t>Average Monthly Cash Burn</t>
  </si>
  <si>
    <t>Starting Cash</t>
  </si>
  <si>
    <t>Operating Cash Flow Breakeven</t>
  </si>
  <si>
    <t>October FY26</t>
  </si>
  <si>
    <t>Key Insights</t>
  </si>
  <si>
    <t>Monthly operating cash burn improves throughout FY26.</t>
  </si>
  <si>
    <t>Operating cash flow turns positive in October FY26.</t>
  </si>
  <si>
    <t>FY26 exits the year cash-generative.</t>
  </si>
  <si>
    <t>Deferred revenue has not yet been modeled; therefore, breakeven timing is conservative.</t>
  </si>
  <si>
    <t xml:space="preserve"> Breakeven timing remains sensitive to New ARR and Expansion assumptions.</t>
  </si>
  <si>
    <t>Assumptions_Log</t>
  </si>
  <si>
    <t>Observation</t>
  </si>
  <si>
    <t>Customer Retention</t>
  </si>
  <si>
    <t>GRR of 81% indicates customer retention weakness; expansion revenue currently masks underlying churn.</t>
  </si>
  <si>
    <t>Risk</t>
  </si>
  <si>
    <t>Revenue Assumption</t>
  </si>
  <si>
    <t>Expansion rate increased to 2.4% to achieve 109% NRR; operational execution must support this assumption.</t>
  </si>
  <si>
    <t>Monitor</t>
  </si>
  <si>
    <t>Sales Capacity</t>
  </si>
  <si>
    <t>Sales capacity exceeds New ARR target by approximately 3x, suggesting either an understated revenue plan or excess sales capacity.</t>
  </si>
  <si>
    <t>People Cost</t>
  </si>
  <si>
    <t>People cost equals 74.6% of revenue, creating pressure on operating leverage and burn reduction.</t>
  </si>
  <si>
    <t>Budget Allocation</t>
  </si>
  <si>
    <t>Sales &amp; Marketing represents 36% of OpEx while Customer Success receives only 10%, despite customer retention being the primary operational challenge.</t>
  </si>
  <si>
    <t>Recommendation</t>
  </si>
  <si>
    <t>Cash Flow</t>
  </si>
  <si>
    <t>Operating cash flow reaches breakeven in October FY26. Timing remains conservative because deferred revenue has not yet been modeled.</t>
  </si>
  <si>
    <t>Reporting Currency</t>
  </si>
  <si>
    <t>The model reports in USD. Salary costs are modeled in AED and converted to USD once at the Headcount_Plan boundary using an exchange rate of 3.67 AED/USD.</t>
  </si>
  <si>
    <t>Key Finding</t>
  </si>
  <si>
    <t>Model Convention</t>
  </si>
  <si>
    <t>Bottom-up cost build produces an 83% gross margin compared with the initial planning assumption of 78%; the model carries forward the bottom-up result.</t>
  </si>
  <si>
    <t>Gross Profit</t>
  </si>
  <si>
    <t>Gross Margin %</t>
  </si>
  <si>
    <t>Operating Expenses</t>
  </si>
  <si>
    <t>EBITDA</t>
  </si>
  <si>
    <t>Depreciation &amp; Amortization</t>
  </si>
  <si>
    <t>EBIT</t>
  </si>
  <si>
    <t>Net Income</t>
  </si>
  <si>
    <t>Income Statement (P&amp;L)</t>
  </si>
  <si>
    <t>FY26</t>
  </si>
  <si>
    <t>BALANCE SHEET</t>
  </si>
  <si>
    <t>ASSETS</t>
  </si>
  <si>
    <t>Cash</t>
  </si>
  <si>
    <t>Accounts Receivable</t>
  </si>
  <si>
    <t>Fixed Assets</t>
  </si>
  <si>
    <t>-------------------</t>
  </si>
  <si>
    <t>Total Assets</t>
  </si>
  <si>
    <t>LIABILITIES</t>
  </si>
  <si>
    <t>Accounts Payable</t>
  </si>
  <si>
    <t>Deferred Revenue</t>
  </si>
  <si>
    <t>Total Liabilities</t>
  </si>
  <si>
    <t>EQUITY</t>
  </si>
  <si>
    <t>Paid-in Capital</t>
  </si>
  <si>
    <t>Retained Earnings</t>
  </si>
  <si>
    <t>Total Equity</t>
  </si>
  <si>
    <t>Balance Check</t>
  </si>
  <si>
    <t>Opening</t>
  </si>
  <si>
    <t>CASH FLOW STATEMENT</t>
  </si>
  <si>
    <t>Operating Activities</t>
  </si>
  <si>
    <t>Change in Accounts Receivable</t>
  </si>
  <si>
    <t>Change in Accounts Payable</t>
  </si>
  <si>
    <t>Change in Deferred Revenue</t>
  </si>
  <si>
    <t>Cash Flow from Operations</t>
  </si>
  <si>
    <t>Investing Activities</t>
  </si>
  <si>
    <t>Capital Expenditure (CapEx)</t>
  </si>
  <si>
    <t>Cash Flow from Investing</t>
  </si>
  <si>
    <t>Financing Activities</t>
  </si>
  <si>
    <t>Equity Raised</t>
  </si>
  <si>
    <t>Debt Raised</t>
  </si>
  <si>
    <t>Cash Flow from Financing</t>
  </si>
  <si>
    <t>Net Change in Cash</t>
  </si>
  <si>
    <t>Scenario Driver</t>
  </si>
  <si>
    <t>Base</t>
  </si>
  <si>
    <t>Upside</t>
  </si>
  <si>
    <t>Downside</t>
  </si>
  <si>
    <t>New ARR (Q1 Monthly)</t>
  </si>
  <si>
    <t>New ARR MoM Growth</t>
  </si>
  <si>
    <t>Hiring Pace</t>
  </si>
  <si>
    <t>Scenario</t>
  </si>
  <si>
    <t>December Ending Cash</t>
  </si>
  <si>
    <t>NimbusDesk FY26 Annual Operating Plan</t>
  </si>
  <si>
    <t>Current Scenario</t>
  </si>
  <si>
    <t>December Cash</t>
  </si>
  <si>
    <t>Headcount</t>
  </si>
  <si>
    <t>Revenue / Employee</t>
  </si>
  <si>
    <t>Cash Breakeven</t>
  </si>
  <si>
    <t>Line Item</t>
  </si>
  <si>
    <t>Budget</t>
  </si>
  <si>
    <t>Actual</t>
  </si>
  <si>
    <t>Variance ($)</t>
  </si>
  <si>
    <t>Variance (%)</t>
  </si>
  <si>
    <t>F/U</t>
  </si>
  <si>
    <t>Material?</t>
  </si>
  <si>
    <t>New ARR Added</t>
  </si>
  <si>
    <t>Ending Headcount</t>
  </si>
  <si>
    <t>NimbusDesk FY26 Annual Operating Plan
Executive Summary</t>
  </si>
  <si>
    <t>Executive Summary</t>
  </si>
  <si>
    <t>NimbusDesk's FY26 Annual Operating Plan targets FY26 Revenue of $27.2M while achieving operating cash flow breakeven in October FY26 and ending the year with approximately $26.7M in cash. The business continues to demonstrate strong SaaS fundamentals, including 109% Net Revenue Retention, 83% Gross Margin, and an LTV:CAC ratio of 4.8x. Although the company remains loss-making during FY26, operating cash burn reduces steadily throughout the year, supporting a sustainable path toward profitability.
STEP 4 – FY26 Operating Plan
Step 4.1
Merge A11:L11
Type:
FY26 Operating Plan
Format:
Font Size: 14
Bold
Dark Blue Fill
White Font
Step 4.2
Merge A12:L16
Turn Wrap Text ON.
Paste:
• FY26 Revenue planned at $27.2M, supported by recurring subscription revenue growth.
• Operating cash flow expected to reach breakeven in October FY26.
• Maintain strong SaaS unit economics with 109% NRR, 83% Gross Margin, 4.8x LTV:CAC, and 19-month CAC Payback.
• Planned headcount growth from 139 to 151 employees, aligned with business growth.
STEP 5 – Key Risks
Step 5.1
Merge A18:L18
Type:
Key Risks
Format like the previous headings.
Step 5.2
Merge A19:L25
Turn Wrap Text ON.
Paste:
• Gross Revenue Retention remains at 81%, indicating continued customer churn risk.
• Sales capacity currently exceeds New ARR generation, reducing commercial efficiency.
• Revenue growth assumptions rely on continued customer expansion and retention improvements.
• Q1 variance analysis identified higher operating expenses together with weaker New ARR, increasing pressure on the planned cash breakeven timeline.
Stop here.
Don't build the rest yet.
Your sheet should now have:
✅ Title
✅ Executive Summary
✅ FY26 Operating Plan
✅ Key Risks
Send me a screenshot after you've completed these sections. Then we'll build:
Scenario Assessment
Management Recommendations
Conclusion
These are the final three sections of your FP&amp;A project.</t>
  </si>
  <si>
    <t>FY26 Operating Plan</t>
  </si>
  <si>
    <t>• FY26 Revenue planned at $27.2M, supported by recurring subscription revenue growth.
• Operating cash flow expected to reach breakeven in October FY26.
• Maintain strong SaaS unit economics with 109% NRR, 83% Gross Margin, 4.8x LTV:CAC, and 19-month CAC Payback.
• Planned headcount growth from 139 to 151 employees, aligned with business growth.</t>
  </si>
  <si>
    <t>Key Risks</t>
  </si>
  <si>
    <t>Gross Revenue Retention remains at 81%, indicating continued customer churn risk.
• Sales capacity currently exceeds New ARR generation, reducing commercial efficiency.
• Revenue growth assumptions rely on continued customer expansion and retention improvements.
• Q1 variance analysis identified higher operating expenses together with weaker New ARR, increasing pressure on the planned cash breakeven timeline.</t>
  </si>
  <si>
    <t>Scenario Assessment</t>
  </si>
  <si>
    <t>Scenario analysis confirms that NimbusDesk remains financially resilient across multiple operating environments. Under the Base Case, the company achieves operating cash flow breakeven in October FY26 while maintaining approximately $26.7M in year-end cash. The Upside Case accelerates profitability through stronger customer acquisition and expansion revenue, while the Downside Case delays breakeven but still maintains sufficient liquidity to support operations. The scenario framework provides management with flexibility to adjust hiring and operating expenses based on business performance.</t>
  </si>
  <si>
    <t>Management Recommendations</t>
  </si>
  <si>
    <t>NimbusDesk enters FY26 with a financially disciplined operating plan supported by strong recurring revenue economics, integrated financial planning, and a robust scenario framework. While customer retention, commercial efficiency, and operating cost control remain key execution priorities, the company maintains sufficient financial flexibility to achieve its long-term growth objectives. Continued monitoring through variance analysis and rolling forecasts will enable management to respond proactively to changing business conditions and support sustainable value creation.</t>
  </si>
  <si>
    <t>• Prioritize customer retention initiatives to improve Gross Revenue Retention and reduce customer churn.
• Improve sales productivity before increasing Sales &amp; Marketing investment, ensuring existing sales capacity delivers stronger customer acquisition.
• Continue monthly Budget vs Actual reviews and rolling forecasts to identify risks early and adjust operating plans proactively.
• Maintain disciplined hiring using the scenario planning framework, allowing operating expenses to scale in line with revenue performance.</t>
  </si>
  <si>
    <t>Conclusion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</si>
</sst>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 #,##0.00_ ;_ * \-#,##0.00_ ;_ * &quot;-&quot;??_ ;_ @_ "/>
    <numFmt numFmtId="164" formatCode="_ * #,##0_ ;_ * \-#,##0_ ;_ * &quot;-&quot;??_ ;_ @_ "/>
    <numFmt numFmtId="165" formatCode="0.0"/>
    <numFmt numFmtId="166" formatCode="0.0000000"/>
    <numFmt numFmtId="167" formatCode="\$0.0,,&quot;M&quot;"/>
    <numFmt numFmtId="168" formatCode="0.0%"/>
    <numFmt numFmtId="169" formatCode="0.0&quot;x&quot;"/>
    <numFmt numFmtId="170" formatCode="0.0&quot; mo&quot;"/>
    <numFmt numFmtId="171" formatCode="\$0.0,&quot;K&quot;"/>
  </numFmts>
  <fonts count="15">
    <font>
      <sz val="11"/>
      <color theme="1"/>
      <name val="Calibri"/>
      <family val="2"/>
    </font>
    <font>
      <sz val="11"/>
      <color theme="1"/>
      <name val="Calibri"/>
      <family val="2"/>
    </font>
    <font>
      <sz val="8"/>
      <name val="Calibri"/>
      <family val="2"/>
    </font>
    <font>
      <b/>
      <sz val="12"/>
      <color theme="0"/>
      <name val="Calibri"/>
      <family val="2"/>
    </font>
    <font>
      <b/>
      <sz val="16"/>
      <color theme="0"/>
      <name val="Calibri"/>
      <family val="2"/>
    </font>
    <font>
      <sz val="16"/>
      <color theme="1"/>
      <name val="Calibri"/>
      <family val="2"/>
    </font>
    <font>
      <b/>
      <sz val="16"/>
      <color theme="1"/>
      <name val="Calibri"/>
      <family val="2"/>
    </font>
    <font>
      <b/>
      <sz val="11"/>
      <color theme="0"/>
      <name val="Calibri"/>
      <family val="2"/>
    </font>
    <font>
      <b/>
      <sz val="11"/>
      <color theme="1"/>
      <name val="Calibri"/>
      <family val="2"/>
    </font>
    <font>
      <sz val="10"/>
      <color theme="1"/>
      <name val="Arial Unicode MS"/>
    </font>
    <font>
      <b/>
      <sz val="10"/>
      <color theme="1"/>
      <name val="Arial Unicode MS"/>
    </font>
    <font>
      <b/>
      <sz val="12"/>
      <color theme="1"/>
      <name val="Calibri"/>
      <family val="2"/>
    </font>
    <font>
      <b/>
      <sz val="11"/>
      <color theme="1"/>
      <name val="Calibri"/>
      <family val="2"/>
      <scheme val="minor"/>
    </font>
    <font>
      <b/>
      <sz val="11"/>
      <color theme="2"/>
      <name val="Calibri"/>
      <family val="2"/>
    </font>
    <font>
      <b/>
      <sz val="12"/>
      <color theme="2"/>
      <name val="Calibri"/>
      <family val="2"/>
    </font>
  </fonts>
  <fills count="10">
    <fill>
      <patternFill patternType="none"/>
    </fill>
    <fill>
      <patternFill patternType="gray125"/>
    </fill>
    <fill>
      <patternFill patternType="solid">
        <fgColor theme="9"/>
        <bgColor indexed="64"/>
      </patternFill>
    </fill>
    <fill>
      <patternFill patternType="solid">
        <fgColor theme="5" tint="0.59999389629810485"/>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8" tint="0.39997558519241921"/>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00">
    <xf numFmtId="0" fontId="0" fillId="0" borderId="0" xfId="0"/>
    <xf numFmtId="9" fontId="0" fillId="0" borderId="0" xfId="0" applyNumberFormat="1"/>
    <xf numFmtId="10" fontId="0" fillId="0" borderId="0" xfId="0" applyNumberFormat="1"/>
    <xf numFmtId="0" fontId="0" fillId="0" borderId="0" xfId="0" applyAlignment="1">
      <alignment horizontal="right"/>
    </xf>
    <xf numFmtId="43" fontId="0" fillId="0" borderId="0" xfId="1" applyFont="1" applyAlignment="1">
      <alignment horizontal="right"/>
    </xf>
    <xf numFmtId="43" fontId="0" fillId="0" borderId="0" xfId="0" applyNumberFormat="1" applyAlignment="1">
      <alignment horizontal="right"/>
    </xf>
    <xf numFmtId="164" fontId="0" fillId="0" borderId="0" xfId="1" applyNumberFormat="1" applyFont="1" applyAlignment="1">
      <alignment horizontal="right"/>
    </xf>
    <xf numFmtId="0" fontId="3" fillId="2" borderId="0" xfId="0" applyFont="1" applyFill="1" applyAlignment="1">
      <alignment horizontal="left"/>
    </xf>
    <xf numFmtId="43" fontId="0" fillId="0" borderId="0" xfId="0" applyNumberFormat="1"/>
    <xf numFmtId="10" fontId="0" fillId="0" borderId="0" xfId="2" applyNumberFormat="1" applyFont="1"/>
    <xf numFmtId="0" fontId="0" fillId="0" borderId="0" xfId="0" applyAlignment="1">
      <alignment vertical="center"/>
    </xf>
    <xf numFmtId="0" fontId="0" fillId="0" borderId="0" xfId="0" applyAlignment="1">
      <alignment horizontal="center" vertical="top"/>
    </xf>
    <xf numFmtId="0" fontId="0" fillId="0" borderId="0" xfId="0" applyAlignment="1">
      <alignment vertical="top"/>
    </xf>
    <xf numFmtId="0" fontId="7" fillId="2" borderId="0" xfId="0" applyFont="1" applyFill="1"/>
    <xf numFmtId="0" fontId="3" fillId="2" borderId="0" xfId="0" applyFont="1" applyFill="1"/>
    <xf numFmtId="1" fontId="0" fillId="0" borderId="0" xfId="0" applyNumberFormat="1"/>
    <xf numFmtId="0" fontId="0" fillId="7" borderId="0" xfId="0" applyFill="1"/>
    <xf numFmtId="4" fontId="0" fillId="0" borderId="0" xfId="0" applyNumberFormat="1"/>
    <xf numFmtId="0" fontId="9" fillId="0" borderId="0" xfId="0" applyFont="1" applyAlignment="1">
      <alignment vertical="center"/>
    </xf>
    <xf numFmtId="0" fontId="10" fillId="7" borderId="0" xfId="0" applyFont="1" applyFill="1" applyAlignment="1">
      <alignment vertical="center"/>
    </xf>
    <xf numFmtId="166" fontId="0" fillId="0" borderId="0" xfId="0" applyNumberFormat="1"/>
    <xf numFmtId="0" fontId="0" fillId="7" borderId="0" xfId="0" applyFill="1" applyAlignment="1">
      <alignment wrapText="1"/>
    </xf>
    <xf numFmtId="0" fontId="0" fillId="0" borderId="0" xfId="0" applyAlignment="1">
      <alignment horizontal="left" vertical="center" wrapText="1"/>
    </xf>
    <xf numFmtId="3" fontId="0" fillId="0" borderId="0" xfId="0" applyNumberFormat="1" applyAlignment="1">
      <alignment horizontal="left" vertical="center" wrapText="1"/>
    </xf>
    <xf numFmtId="4" fontId="0" fillId="0" borderId="0" xfId="0" applyNumberFormat="1" applyAlignment="1">
      <alignment horizontal="left" vertical="center" wrapText="1"/>
    </xf>
    <xf numFmtId="4" fontId="0" fillId="8" borderId="0" xfId="0" applyNumberFormat="1" applyFill="1"/>
    <xf numFmtId="0" fontId="8" fillId="0" borderId="0" xfId="0" applyFont="1"/>
    <xf numFmtId="9" fontId="0" fillId="0" borderId="0" xfId="2" applyFont="1"/>
    <xf numFmtId="0" fontId="0" fillId="0" borderId="0" xfId="0" applyAlignment="1">
      <alignment vertical="center" wrapText="1"/>
    </xf>
    <xf numFmtId="0" fontId="8" fillId="0" borderId="0" xfId="0" applyFont="1" applyAlignment="1">
      <alignment horizontal="left" vertical="center" wrapText="1"/>
    </xf>
    <xf numFmtId="0" fontId="0" fillId="0" borderId="0" xfId="0" quotePrefix="1"/>
    <xf numFmtId="0" fontId="0" fillId="0" borderId="0" xfId="0" applyAlignment="1">
      <alignment wrapText="1"/>
    </xf>
    <xf numFmtId="0" fontId="11" fillId="0" borderId="0" xfId="0" applyFont="1"/>
    <xf numFmtId="43" fontId="0" fillId="0" borderId="0" xfId="0" applyNumberFormat="1" applyAlignment="1">
      <alignment horizontal="left"/>
    </xf>
    <xf numFmtId="0" fontId="0" fillId="0" borderId="0" xfId="0" applyAlignment="1">
      <alignment horizontal="left" wrapText="1"/>
    </xf>
    <xf numFmtId="0" fontId="3" fillId="2" borderId="0" xfId="0" applyFont="1" applyFill="1" applyAlignment="1">
      <alignment horizontal="left" wrapText="1"/>
    </xf>
    <xf numFmtId="0" fontId="3" fillId="2" borderId="0" xfId="0" applyFont="1" applyFill="1" applyAlignment="1">
      <alignment wrapText="1"/>
    </xf>
    <xf numFmtId="0" fontId="7" fillId="2" borderId="2" xfId="0" applyFont="1" applyFill="1" applyBorder="1" applyAlignment="1">
      <alignment wrapText="1"/>
    </xf>
    <xf numFmtId="0" fontId="8" fillId="7" borderId="0" xfId="0" applyFont="1" applyFill="1" applyAlignment="1">
      <alignment horizontal="left"/>
    </xf>
    <xf numFmtId="0" fontId="8" fillId="0" borderId="0" xfId="0" applyFont="1" applyAlignment="1">
      <alignment horizontal="center" vertical="center" wrapText="1"/>
    </xf>
    <xf numFmtId="43" fontId="9" fillId="0" borderId="0" xfId="0" applyNumberFormat="1" applyFont="1" applyAlignment="1">
      <alignment vertical="center"/>
    </xf>
    <xf numFmtId="0" fontId="12" fillId="0" borderId="0" xfId="0" applyFont="1"/>
    <xf numFmtId="0" fontId="0" fillId="4" borderId="0" xfId="0" applyFill="1"/>
    <xf numFmtId="0" fontId="0" fillId="0" borderId="0" xfId="0" applyAlignment="1">
      <alignment horizontal="left"/>
    </xf>
    <xf numFmtId="0" fontId="7" fillId="2" borderId="0" xfId="0" applyFont="1" applyFill="1" applyAlignment="1">
      <alignment horizontal="left" vertical="center" wrapText="1"/>
    </xf>
    <xf numFmtId="43" fontId="0" fillId="0" borderId="0" xfId="0" applyNumberFormat="1" applyAlignment="1">
      <alignment horizontal="right" vertical="center" wrapText="1"/>
    </xf>
    <xf numFmtId="1" fontId="0" fillId="0" borderId="0" xfId="0" applyNumberFormat="1" applyAlignment="1">
      <alignment horizontal="right"/>
    </xf>
    <xf numFmtId="0" fontId="0" fillId="0" borderId="0" xfId="0" applyAlignment="1">
      <alignment horizontal="right" vertical="center" wrapText="1"/>
    </xf>
    <xf numFmtId="9" fontId="1" fillId="0" borderId="0" xfId="2" applyFont="1"/>
    <xf numFmtId="0" fontId="0" fillId="7" borderId="0" xfId="0" applyFill="1" applyAlignment="1">
      <alignment vertical="center" wrapText="1"/>
    </xf>
    <xf numFmtId="43" fontId="0" fillId="7" borderId="0" xfId="0" applyNumberFormat="1" applyFill="1" applyAlignment="1">
      <alignment vertical="center" wrapText="1"/>
    </xf>
    <xf numFmtId="43" fontId="0" fillId="7" borderId="0" xfId="0" applyNumberFormat="1" applyFill="1"/>
    <xf numFmtId="9" fontId="0" fillId="7" borderId="0" xfId="2" applyFont="1" applyFill="1" applyAlignment="1">
      <alignment vertical="center" wrapText="1"/>
    </xf>
    <xf numFmtId="0" fontId="13" fillId="2" borderId="0" xfId="0" applyFont="1" applyFill="1" applyAlignment="1">
      <alignment horizontal="center" vertical="center" wrapText="1"/>
    </xf>
    <xf numFmtId="0" fontId="8" fillId="7" borderId="1" xfId="0" applyFont="1" applyFill="1" applyBorder="1" applyAlignment="1">
      <alignment horizontal="left" vertical="center" wrapText="1"/>
    </xf>
    <xf numFmtId="0" fontId="9" fillId="7" borderId="1" xfId="0" applyFont="1" applyFill="1" applyBorder="1" applyAlignment="1">
      <alignment horizontal="left" vertical="center" wrapText="1"/>
    </xf>
    <xf numFmtId="0" fontId="14" fillId="2" borderId="0" xfId="0" applyFont="1" applyFill="1" applyAlignment="1">
      <alignment horizontal="center"/>
    </xf>
    <xf numFmtId="0" fontId="14" fillId="2" borderId="0" xfId="0" applyFont="1" applyFill="1" applyAlignment="1">
      <alignment horizontal="left" vertical="center" wrapText="1"/>
    </xf>
    <xf numFmtId="0" fontId="0" fillId="8" borderId="0" xfId="0" applyFill="1"/>
    <xf numFmtId="10" fontId="0" fillId="8" borderId="0" xfId="2" applyNumberFormat="1" applyFont="1" applyFill="1"/>
    <xf numFmtId="0" fontId="8" fillId="8" borderId="0" xfId="0" applyFont="1" applyFill="1"/>
    <xf numFmtId="0" fontId="14" fillId="2" borderId="0" xfId="0" applyFont="1" applyFill="1" applyAlignment="1">
      <alignment horizontal="left"/>
    </xf>
    <xf numFmtId="0" fontId="0" fillId="0" borderId="0" xfId="0" applyAlignment="1">
      <alignment horizontal="left" vertical="top" wrapText="1"/>
    </xf>
    <xf numFmtId="0" fontId="14" fillId="2" borderId="0" xfId="0" applyFont="1" applyFill="1" applyAlignment="1">
      <alignment wrapText="1"/>
    </xf>
    <xf numFmtId="0" fontId="0" fillId="0" borderId="0" xfId="0" applyAlignment="1">
      <alignment vertical="top" wrapText="1"/>
    </xf>
    <xf numFmtId="0" fontId="14" fillId="2" borderId="0" xfId="0" applyFont="1" applyFill="1" applyAlignment="1">
      <alignment horizontal="left" vertical="top" wrapText="1"/>
    </xf>
    <xf numFmtId="0" fontId="14" fillId="2" borderId="0" xfId="0" applyFont="1" applyFill="1" applyAlignment="1">
      <alignment horizontal="left" wrapText="1"/>
    </xf>
    <xf numFmtId="0" fontId="0" fillId="0" borderId="0" xfId="0" applyAlignment="1">
      <alignment wrapText="1"/>
    </xf>
    <xf numFmtId="0" fontId="0" fillId="0" borderId="0" xfId="0" applyAlignment="1">
      <alignment horizontal="left" wrapText="1"/>
    </xf>
    <xf numFmtId="0" fontId="0" fillId="9" borderId="3" xfId="0" applyFill="1" applyBorder="1" applyAlignment="1">
      <alignment horizontal="center" vertical="center"/>
    </xf>
    <xf numFmtId="0" fontId="0" fillId="9" borderId="4" xfId="0" applyFill="1" applyBorder="1" applyAlignment="1">
      <alignment horizontal="center" vertical="center"/>
    </xf>
    <xf numFmtId="169" fontId="0" fillId="9" borderId="5" xfId="0" applyNumberFormat="1" applyFill="1" applyBorder="1" applyAlignment="1">
      <alignment horizontal="center" vertical="center"/>
    </xf>
    <xf numFmtId="169" fontId="0" fillId="9" borderId="6" xfId="0" applyNumberFormat="1" applyFill="1" applyBorder="1" applyAlignment="1">
      <alignment horizontal="center" vertical="center"/>
    </xf>
    <xf numFmtId="170" fontId="0" fillId="9" borderId="5" xfId="0" applyNumberFormat="1" applyFill="1" applyBorder="1" applyAlignment="1">
      <alignment horizontal="center" vertical="center"/>
    </xf>
    <xf numFmtId="170" fontId="0" fillId="9" borderId="6" xfId="0" applyNumberFormat="1" applyFill="1" applyBorder="1" applyAlignment="1">
      <alignment horizontal="center" vertical="center"/>
    </xf>
    <xf numFmtId="167" fontId="0" fillId="9" borderId="5" xfId="0" applyNumberFormat="1" applyFill="1" applyBorder="1" applyAlignment="1">
      <alignment horizontal="center" vertical="center"/>
    </xf>
    <xf numFmtId="167" fontId="0" fillId="9" borderId="6" xfId="0" applyNumberFormat="1" applyFill="1" applyBorder="1" applyAlignment="1">
      <alignment horizontal="center" vertical="center"/>
    </xf>
    <xf numFmtId="0" fontId="3" fillId="2" borderId="0" xfId="0" applyFont="1" applyFill="1" applyAlignment="1">
      <alignment horizontal="left" vertical="center"/>
    </xf>
    <xf numFmtId="43" fontId="0" fillId="9" borderId="3" xfId="0" applyNumberFormat="1" applyFill="1" applyBorder="1" applyAlignment="1">
      <alignment horizontal="center" vertical="center"/>
    </xf>
    <xf numFmtId="43" fontId="0" fillId="9" borderId="4" xfId="0" applyNumberFormat="1" applyFill="1" applyBorder="1" applyAlignment="1">
      <alignment horizontal="center" vertical="center"/>
    </xf>
    <xf numFmtId="168" fontId="0" fillId="9" borderId="5" xfId="0" applyNumberFormat="1" applyFill="1" applyBorder="1" applyAlignment="1">
      <alignment horizontal="center" vertical="center"/>
    </xf>
    <xf numFmtId="168" fontId="0" fillId="9" borderId="6" xfId="0" applyNumberFormat="1" applyFill="1" applyBorder="1" applyAlignment="1">
      <alignment horizontal="center" vertical="center"/>
    </xf>
    <xf numFmtId="0" fontId="0" fillId="9" borderId="5" xfId="0" applyFill="1" applyBorder="1" applyAlignment="1">
      <alignment horizontal="center" vertical="center"/>
    </xf>
    <xf numFmtId="0" fontId="0" fillId="9" borderId="6" xfId="0" applyFill="1" applyBorder="1" applyAlignment="1">
      <alignment horizontal="center" vertical="center"/>
    </xf>
    <xf numFmtId="168" fontId="0" fillId="9" borderId="5" xfId="2" applyNumberFormat="1" applyFont="1" applyFill="1" applyBorder="1" applyAlignment="1">
      <alignment horizontal="center" vertical="center"/>
    </xf>
    <xf numFmtId="168" fontId="0" fillId="9" borderId="6" xfId="2" applyNumberFormat="1" applyFont="1" applyFill="1" applyBorder="1" applyAlignment="1">
      <alignment horizontal="center" vertical="center"/>
    </xf>
    <xf numFmtId="0" fontId="0" fillId="9" borderId="3" xfId="0" applyFill="1" applyBorder="1" applyAlignment="1">
      <alignment horizontal="center" vertical="center" wrapText="1"/>
    </xf>
    <xf numFmtId="0" fontId="0" fillId="9" borderId="4" xfId="0" applyFill="1" applyBorder="1" applyAlignment="1">
      <alignment horizontal="center" vertical="center" wrapText="1"/>
    </xf>
    <xf numFmtId="1" fontId="0" fillId="9" borderId="5" xfId="0" applyNumberFormat="1" applyFill="1" applyBorder="1" applyAlignment="1">
      <alignment horizontal="center" vertical="center" wrapText="1"/>
    </xf>
    <xf numFmtId="0" fontId="0" fillId="9" borderId="6" xfId="0" applyFill="1" applyBorder="1" applyAlignment="1">
      <alignment horizontal="center" vertical="center" wrapText="1"/>
    </xf>
    <xf numFmtId="171" fontId="0" fillId="9" borderId="5" xfId="0" applyNumberFormat="1" applyFill="1" applyBorder="1" applyAlignment="1">
      <alignment horizontal="center" vertical="center"/>
    </xf>
    <xf numFmtId="171" fontId="0" fillId="9" borderId="6" xfId="0" applyNumberFormat="1" applyFill="1" applyBorder="1" applyAlignment="1">
      <alignment horizontal="center" vertical="center"/>
    </xf>
    <xf numFmtId="0" fontId="4" fillId="2" borderId="0" xfId="0" applyFont="1" applyFill="1" applyAlignment="1">
      <alignment horizontal="center"/>
    </xf>
    <xf numFmtId="0" fontId="5" fillId="2" borderId="0" xfId="0" applyFont="1" applyFill="1" applyAlignment="1">
      <alignment horizontal="center"/>
    </xf>
    <xf numFmtId="10" fontId="6" fillId="4" borderId="0" xfId="0" applyNumberFormat="1" applyFont="1" applyFill="1" applyAlignment="1">
      <alignment horizontal="center" vertical="center"/>
    </xf>
    <xf numFmtId="0" fontId="6" fillId="4" borderId="0" xfId="0" applyFont="1" applyFill="1" applyAlignment="1">
      <alignment horizontal="center" vertical="center"/>
    </xf>
    <xf numFmtId="165" fontId="6" fillId="3" borderId="0" xfId="0" applyNumberFormat="1" applyFont="1" applyFill="1" applyAlignment="1">
      <alignment horizontal="center" vertical="center"/>
    </xf>
    <xf numFmtId="165" fontId="6" fillId="5" borderId="0" xfId="0" applyNumberFormat="1" applyFont="1" applyFill="1" applyAlignment="1">
      <alignment horizontal="center" vertical="center"/>
    </xf>
    <xf numFmtId="10" fontId="6" fillId="6" borderId="0" xfId="0" applyNumberFormat="1" applyFont="1" applyFill="1" applyAlignment="1">
      <alignment horizontal="center" vertical="center"/>
    </xf>
    <xf numFmtId="0" fontId="6" fillId="6" borderId="0" xfId="0" applyFont="1" applyFill="1" applyAlignment="1">
      <alignment horizontal="center" vertical="center"/>
    </xf>
  </cellXfs>
  <cellStyles count="3">
    <cellStyle name="Comma" xfId="1" builtinId="3"/>
    <cellStyle name="Normal" xfId="0" builtinId="0"/>
    <cellStyle name="Percent" xfId="2" builtinId="5"/>
  </cellStyles>
  <dxfs count="3">
    <dxf>
      <fill>
        <patternFill>
          <bgColor theme="5" tint="0.39994506668294322"/>
        </patternFill>
      </fill>
    </dxf>
    <dxf>
      <fill>
        <patternFill>
          <bgColor theme="8" tint="0.39994506668294322"/>
        </patternFill>
      </fill>
    </dxf>
    <dxf>
      <fill>
        <patternFill>
          <bgColor theme="9"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1.0772357723577259E-2"/>
          <c:y val="3.1565656565656568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0.25820103279772955"/>
          <c:y val="0.25940656565656567"/>
          <c:w val="0.73672326782322939"/>
          <c:h val="0.61939224926429648"/>
        </c:manualLayout>
      </c:layout>
      <c:lineChart>
        <c:grouping val="standard"/>
        <c:varyColors val="0"/>
        <c:ser>
          <c:idx val="0"/>
          <c:order val="0"/>
          <c:tx>
            <c:strRef>
              <c:f>Rev_Build!$A$16</c:f>
              <c:strCache>
                <c:ptCount val="1"/>
                <c:pt idx="0">
                  <c:v>Monthly Recognized Revenue</c:v>
                </c:pt>
              </c:strCache>
            </c:strRef>
          </c:tx>
          <c:spPr>
            <a:ln w="28575" cap="rnd">
              <a:solidFill>
                <a:srgbClr val="00B050"/>
              </a:solidFill>
              <a:round/>
            </a:ln>
            <a:effectLst/>
          </c:spPr>
          <c:marker>
            <c:symbol val="none"/>
          </c:marker>
          <c:val>
            <c:numRef>
              <c:f>Rev_Build!$B$16:$M$16</c:f>
              <c:numCache>
                <c:formatCode>_(* #,##0.00_);_(* \(#,##0.00\);_(* "-"??_);_(@_)</c:formatCode>
                <c:ptCount val="12"/>
                <c:pt idx="0">
                  <c:v>2037333.3333333333</c:v>
                </c:pt>
                <c:pt idx="1">
                  <c:v>2074928</c:v>
                </c:pt>
                <c:pt idx="2">
                  <c:v>2112785.8293333333</c:v>
                </c:pt>
                <c:pt idx="3">
                  <c:v>2152075.3301386666</c:v>
                </c:pt>
                <c:pt idx="4">
                  <c:v>2192864.8574496373</c:v>
                </c:pt>
                <c:pt idx="5">
                  <c:v>2235226.1614517849</c:v>
                </c:pt>
                <c:pt idx="6">
                  <c:v>2279234.5570819476</c:v>
                </c:pt>
                <c:pt idx="7">
                  <c:v>2324969.1021065209</c:v>
                </c:pt>
                <c:pt idx="8">
                  <c:v>2372512.7841025167</c:v>
                </c:pt>
                <c:pt idx="9">
                  <c:v>2421952.7167865471</c:v>
                </c:pt>
                <c:pt idx="10">
                  <c:v>2473380.3461591308</c:v>
                </c:pt>
                <c:pt idx="11">
                  <c:v>2526891.6669550766</c:v>
                </c:pt>
              </c:numCache>
            </c:numRef>
          </c:val>
          <c:smooth val="0"/>
          <c:extLst>
            <c:ext xmlns:c16="http://schemas.microsoft.com/office/drawing/2014/chart" uri="{C3380CC4-5D6E-409C-BE32-E72D297353CC}">
              <c16:uniqueId val="{00000000-6105-4137-9A9B-1225AC2DC8D9}"/>
            </c:ext>
          </c:extLst>
        </c:ser>
        <c:dLbls>
          <c:showLegendKey val="0"/>
          <c:showVal val="0"/>
          <c:showCatName val="0"/>
          <c:showSerName val="0"/>
          <c:showPercent val="0"/>
          <c:showBubbleSize val="0"/>
        </c:dLbls>
        <c:smooth val="0"/>
        <c:axId val="1228923888"/>
        <c:axId val="1049121744"/>
      </c:lineChart>
      <c:catAx>
        <c:axId val="12289238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121744"/>
        <c:crosses val="autoZero"/>
        <c:auto val="1"/>
        <c:lblAlgn val="ctr"/>
        <c:lblOffset val="100"/>
        <c:noMultiLvlLbl val="0"/>
      </c:catAx>
      <c:valAx>
        <c:axId val="1049121744"/>
        <c:scaling>
          <c:orientation val="minMax"/>
        </c:scaling>
        <c:delete val="0"/>
        <c:axPos val="l"/>
        <c:numFmt formatCode="_(* #,##0.00_);_(* \(#,##0.0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923888"/>
        <c:crosses val="autoZero"/>
        <c:crossBetween val="between"/>
      </c:valAx>
      <c:spPr>
        <a:noFill/>
        <a:ln>
          <a:solidFill>
            <a:schemeClr val="accent6"/>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B050"/>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100" b="1" i="0" u="none" strike="noStrike" kern="1200" spc="0" baseline="0">
                <a:solidFill>
                  <a:schemeClr val="tx1"/>
                </a:solidFill>
                <a:latin typeface="+mn-lt"/>
                <a:ea typeface="+mn-ea"/>
                <a:cs typeface="+mn-cs"/>
              </a:defRPr>
            </a:pPr>
            <a:r>
              <a:rPr lang="en-IN" sz="1100" b="1" i="0" u="none" strike="noStrike" baseline="0">
                <a:solidFill>
                  <a:schemeClr val="tx1"/>
                </a:solidFill>
              </a:rPr>
              <a:t>Monthly Operating Cash Burn</a:t>
            </a:r>
            <a:endParaRPr lang="en-US" sz="1100" b="1">
              <a:solidFill>
                <a:schemeClr val="tx1"/>
              </a:solidFill>
            </a:endParaRPr>
          </a:p>
        </c:rich>
      </c:tx>
      <c:layout>
        <c:manualLayout>
          <c:xMode val="edge"/>
          <c:yMode val="edge"/>
          <c:x val="2.9724702380952366E-2"/>
          <c:y val="3.787878787878788E-2"/>
        </c:manualLayout>
      </c:layout>
      <c:overlay val="0"/>
      <c:spPr>
        <a:noFill/>
        <a:ln>
          <a:noFill/>
        </a:ln>
        <a:effectLst/>
      </c:spPr>
      <c:txPr>
        <a:bodyPr rot="0" spcFirstLastPara="1" vertOverflow="ellipsis" vert="horz" wrap="square" anchor="ctr" anchorCtr="1"/>
        <a:lstStyle/>
        <a:p>
          <a:pPr algn="l">
            <a:defRPr sz="1100" b="1" i="0" u="none" strike="noStrike" kern="1200" spc="0" baseline="0">
              <a:solidFill>
                <a:schemeClr val="tx1"/>
              </a:solidFill>
              <a:latin typeface="+mn-lt"/>
              <a:ea typeface="+mn-ea"/>
              <a:cs typeface="+mn-cs"/>
            </a:defRPr>
          </a:pPr>
          <a:endParaRPr lang="en-US"/>
        </a:p>
      </c:txPr>
    </c:title>
    <c:autoTitleDeleted val="0"/>
    <c:plotArea>
      <c:layout/>
      <c:lineChart>
        <c:grouping val="standard"/>
        <c:varyColors val="0"/>
        <c:ser>
          <c:idx val="0"/>
          <c:order val="0"/>
          <c:tx>
            <c:strRef>
              <c:f>Cash_Flow!$A$6</c:f>
              <c:strCache>
                <c:ptCount val="1"/>
                <c:pt idx="0">
                  <c:v>Operating Cash Burn</c:v>
                </c:pt>
              </c:strCache>
            </c:strRef>
          </c:tx>
          <c:spPr>
            <a:ln w="28575" cap="rnd">
              <a:solidFill>
                <a:schemeClr val="accent6"/>
              </a:solidFill>
              <a:round/>
            </a:ln>
            <a:effectLst/>
          </c:spPr>
          <c:marker>
            <c:symbol val="none"/>
          </c:marker>
          <c:val>
            <c:numRef>
              <c:f>Cash_Flow!$B$6:$M$6</c:f>
              <c:numCache>
                <c:formatCode>_(* #,##0.00_);_(* \(#,##0.00\);_(* "-"??_);_(@_)</c:formatCode>
                <c:ptCount val="12"/>
                <c:pt idx="0">
                  <c:v>-190093.32425068156</c:v>
                </c:pt>
                <c:pt idx="1">
                  <c:v>-174023.66439600382</c:v>
                </c:pt>
                <c:pt idx="2">
                  <c:v>-161335.71896366961</c:v>
                </c:pt>
                <c:pt idx="3">
                  <c:v>-130138.79014130589</c:v>
                </c:pt>
                <c:pt idx="4">
                  <c:v>-110326.39501536498</c:v>
                </c:pt>
                <c:pt idx="5">
                  <c:v>-92592.579033526592</c:v>
                </c:pt>
                <c:pt idx="6">
                  <c:v>-45808.26666154433</c:v>
                </c:pt>
                <c:pt idx="7">
                  <c:v>-20622.566787365358</c:v>
                </c:pt>
                <c:pt idx="8">
                  <c:v>-7613.8854502965696</c:v>
                </c:pt>
                <c:pt idx="9">
                  <c:v>21828.040541433264</c:v>
                </c:pt>
                <c:pt idx="10">
                  <c:v>76754.646013434045</c:v>
                </c:pt>
                <c:pt idx="11">
                  <c:v>147898.89047750365</c:v>
                </c:pt>
              </c:numCache>
            </c:numRef>
          </c:val>
          <c:smooth val="0"/>
          <c:extLst>
            <c:ext xmlns:c16="http://schemas.microsoft.com/office/drawing/2014/chart" uri="{C3380CC4-5D6E-409C-BE32-E72D297353CC}">
              <c16:uniqueId val="{00000000-585E-4C1E-B92A-063508A39650}"/>
            </c:ext>
          </c:extLst>
        </c:ser>
        <c:dLbls>
          <c:showLegendKey val="0"/>
          <c:showVal val="0"/>
          <c:showCatName val="0"/>
          <c:showSerName val="0"/>
          <c:showPercent val="0"/>
          <c:showBubbleSize val="0"/>
        </c:dLbls>
        <c:smooth val="0"/>
        <c:axId val="1114947760"/>
        <c:axId val="1280340752"/>
      </c:lineChart>
      <c:catAx>
        <c:axId val="111494776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340752"/>
        <c:crosses val="autoZero"/>
        <c:auto val="1"/>
        <c:lblAlgn val="ctr"/>
        <c:lblOffset val="100"/>
        <c:noMultiLvlLbl val="0"/>
      </c:catAx>
      <c:valAx>
        <c:axId val="1280340752"/>
        <c:scaling>
          <c:orientation val="minMax"/>
        </c:scaling>
        <c:delete val="0"/>
        <c:axPos val="l"/>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947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B050"/>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6"/>
                </a:solidFill>
                <a:latin typeface="+mn-lt"/>
                <a:ea typeface="+mn-ea"/>
                <a:cs typeface="+mn-cs"/>
              </a:defRPr>
            </a:pPr>
            <a:r>
              <a:rPr lang="en-IN" sz="1400" b="1" i="0" u="none" strike="noStrike" baseline="0">
                <a:solidFill>
                  <a:schemeClr val="accent6"/>
                </a:solidFill>
              </a:rPr>
              <a:t>CAC Payback Comparison</a:t>
            </a:r>
            <a:endParaRPr lang="en-IN" b="1">
              <a:solidFill>
                <a:schemeClr val="accent6"/>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6"/>
              </a:solidFill>
              <a:latin typeface="+mn-lt"/>
              <a:ea typeface="+mn-ea"/>
              <a:cs typeface="+mn-cs"/>
            </a:defRPr>
          </a:pPr>
          <a:endParaRPr lang="en-IN"/>
        </a:p>
      </c:txPr>
    </c:title>
    <c:autoTitleDeleted val="0"/>
    <c:plotArea>
      <c:layout>
        <c:manualLayout>
          <c:layoutTarget val="inner"/>
          <c:xMode val="edge"/>
          <c:yMode val="edge"/>
          <c:x val="7.3842063642229561E-2"/>
          <c:y val="0.18472964943553183"/>
          <c:w val="0.89227007437379013"/>
          <c:h val="0.64178094048404377"/>
        </c:manualLayout>
      </c:layout>
      <c:barChart>
        <c:barDir val="col"/>
        <c:grouping val="clustered"/>
        <c:varyColors val="0"/>
        <c:ser>
          <c:idx val="0"/>
          <c:order val="0"/>
          <c:tx>
            <c:strRef>
              <c:f>Customer_Metrics!$B$25</c:f>
              <c:strCache>
                <c:ptCount val="1"/>
                <c:pt idx="0">
                  <c:v>Months</c:v>
                </c:pt>
              </c:strCache>
            </c:strRef>
          </c:tx>
          <c:spPr>
            <a:solidFill>
              <a:schemeClr val="accent6">
                <a:lumMod val="60000"/>
                <a:lumOff val="40000"/>
              </a:schemeClr>
            </a:solidFill>
            <a:ln>
              <a:noFill/>
            </a:ln>
            <a:effectLst/>
          </c:spPr>
          <c:invertIfNegative val="0"/>
          <c:cat>
            <c:strRef>
              <c:f>Customer_Metrics!$A$26:$A$28</c:f>
              <c:strCache>
                <c:ptCount val="3"/>
                <c:pt idx="0">
                  <c:v>Board Target</c:v>
                </c:pt>
                <c:pt idx="1">
                  <c:v>Company Reported</c:v>
                </c:pt>
                <c:pt idx="2">
                  <c:v>Model Result</c:v>
                </c:pt>
              </c:strCache>
            </c:strRef>
          </c:cat>
          <c:val>
            <c:numRef>
              <c:f>Customer_Metrics!$B$26:$B$28</c:f>
              <c:numCache>
                <c:formatCode>General</c:formatCode>
                <c:ptCount val="3"/>
                <c:pt idx="0">
                  <c:v>15</c:v>
                </c:pt>
                <c:pt idx="1">
                  <c:v>19</c:v>
                </c:pt>
                <c:pt idx="2">
                  <c:v>34.700000000000003</c:v>
                </c:pt>
              </c:numCache>
            </c:numRef>
          </c:val>
          <c:extLst>
            <c:ext xmlns:c16="http://schemas.microsoft.com/office/drawing/2014/chart" uri="{C3380CC4-5D6E-409C-BE32-E72D297353CC}">
              <c16:uniqueId val="{00000000-EA00-4D71-A8DE-507AA433623F}"/>
            </c:ext>
          </c:extLst>
        </c:ser>
        <c:dLbls>
          <c:showLegendKey val="0"/>
          <c:showVal val="0"/>
          <c:showCatName val="0"/>
          <c:showSerName val="0"/>
          <c:showPercent val="0"/>
          <c:showBubbleSize val="0"/>
        </c:dLbls>
        <c:gapWidth val="219"/>
        <c:overlap val="-27"/>
        <c:axId val="1945523455"/>
        <c:axId val="1945531615"/>
      </c:barChart>
      <c:catAx>
        <c:axId val="1945523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5531615"/>
        <c:crosses val="autoZero"/>
        <c:auto val="1"/>
        <c:lblAlgn val="ctr"/>
        <c:lblOffset val="100"/>
        <c:noMultiLvlLbl val="0"/>
      </c:catAx>
      <c:valAx>
        <c:axId val="1945531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5523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7620</xdr:colOff>
      <xdr:row>12</xdr:row>
      <xdr:rowOff>144780</xdr:rowOff>
    </xdr:from>
    <xdr:to>
      <xdr:col>5</xdr:col>
      <xdr:colOff>15240</xdr:colOff>
      <xdr:row>23</xdr:row>
      <xdr:rowOff>144780</xdr:rowOff>
    </xdr:to>
    <xdr:graphicFrame macro="">
      <xdr:nvGraphicFramePr>
        <xdr:cNvPr id="2" name="Chart 1">
          <a:extLst>
            <a:ext uri="{FF2B5EF4-FFF2-40B4-BE49-F238E27FC236}">
              <a16:creationId xmlns:a16="http://schemas.microsoft.com/office/drawing/2014/main" id="{61260C04-7879-4278-82D9-A5EBA16AB5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60960</xdr:colOff>
      <xdr:row>12</xdr:row>
      <xdr:rowOff>160020</xdr:rowOff>
    </xdr:from>
    <xdr:to>
      <xdr:col>11</xdr:col>
      <xdr:colOff>76199</xdr:colOff>
      <xdr:row>23</xdr:row>
      <xdr:rowOff>160020</xdr:rowOff>
    </xdr:to>
    <xdr:graphicFrame macro="">
      <xdr:nvGraphicFramePr>
        <xdr:cNvPr id="3" name="Chart 2">
          <a:extLst>
            <a:ext uri="{FF2B5EF4-FFF2-40B4-BE49-F238E27FC236}">
              <a16:creationId xmlns:a16="http://schemas.microsoft.com/office/drawing/2014/main" id="{89D57D4F-77B5-46D8-969E-F8F222FC83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22859</xdr:colOff>
      <xdr:row>8</xdr:row>
      <xdr:rowOff>7620</xdr:rowOff>
    </xdr:from>
    <xdr:to>
      <xdr:col>11</xdr:col>
      <xdr:colOff>232316</xdr:colOff>
      <xdr:row>20</xdr:row>
      <xdr:rowOff>157976</xdr:rowOff>
    </xdr:to>
    <xdr:graphicFrame macro="">
      <xdr:nvGraphicFramePr>
        <xdr:cNvPr id="5" name="Chart 4">
          <a:extLst>
            <a:ext uri="{FF2B5EF4-FFF2-40B4-BE49-F238E27FC236}">
              <a16:creationId xmlns:a16="http://schemas.microsoft.com/office/drawing/2014/main" id="{5915FC00-79AC-E785-0B73-3076F4F8C8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594732</xdr:colOff>
      <xdr:row>9</xdr:row>
      <xdr:rowOff>18586</xdr:rowOff>
    </xdr:from>
    <xdr:to>
      <xdr:col>21</xdr:col>
      <xdr:colOff>223025</xdr:colOff>
      <xdr:row>20</xdr:row>
      <xdr:rowOff>157977</xdr:rowOff>
    </xdr:to>
    <xdr:sp macro="" textlink="">
      <xdr:nvSpPr>
        <xdr:cNvPr id="2" name="TextBox 1">
          <a:extLst>
            <a:ext uri="{FF2B5EF4-FFF2-40B4-BE49-F238E27FC236}">
              <a16:creationId xmlns:a16="http://schemas.microsoft.com/office/drawing/2014/main" id="{6FC91A1F-6432-A7E7-2C74-56D50C00C50A}"/>
            </a:ext>
          </a:extLst>
        </xdr:cNvPr>
        <xdr:cNvSpPr txBox="1"/>
      </xdr:nvSpPr>
      <xdr:spPr>
        <a:xfrm>
          <a:off x="8781586" y="1774903"/>
          <a:ext cx="6040244" cy="2183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After allocating only acquisition-related Sales &amp; Marketing spend (55%) to CAC, the calculated CAC Payback improves to approximately 19 months, aligning closely with management's reported performance.</a:t>
          </a:r>
        </a:p>
        <a:p>
          <a:r>
            <a:rPr lang="en-IN"/>
            <a:t>The earlier 34.7-month payback was driven by a methodology mismatch, as 100% of Sales &amp; Marketing spend was allocated to new customer acquisition. Using an acquisition-only CAC approach provides a more accurate measure of acquisition efficiency.</a:t>
          </a:r>
        </a:p>
        <a:p>
          <a:r>
            <a:rPr lang="en-IN"/>
            <a:t>With an LTV ratio of approximately 4.8x, NimbusDesk demonstrates healthy customer economics that exceed the commonly accepted SaaS benchmark of 3x. While customer acquisition efficiency appears reasonable, the business remains dependent on expansion revenue to offset an 81.4% GRR, highlighting the importance of improving retention and reducing revenue leakage from churn and contraction.</a:t>
          </a:r>
        </a:p>
        <a:p>
          <a:endParaRPr lang="en-IN"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AECCA-FF6B-442D-9EE0-499FBF143D07}">
  <dimension ref="A1:L57"/>
  <sheetViews>
    <sheetView tabSelected="1" workbookViewId="0">
      <selection activeCell="G61" sqref="G61"/>
    </sheetView>
  </sheetViews>
  <sheetFormatPr defaultRowHeight="14.4"/>
  <sheetData>
    <row r="1" spans="1:12">
      <c r="A1" s="66" t="s">
        <v>276</v>
      </c>
      <c r="B1" s="61"/>
      <c r="C1" s="61"/>
      <c r="D1" s="61"/>
      <c r="E1" s="61"/>
      <c r="F1" s="61"/>
      <c r="G1" s="61"/>
      <c r="H1" s="61"/>
      <c r="I1" s="61"/>
      <c r="J1" s="61"/>
      <c r="K1" s="61"/>
      <c r="L1" s="61"/>
    </row>
    <row r="2" spans="1:12">
      <c r="A2" s="61"/>
      <c r="B2" s="61"/>
      <c r="C2" s="61"/>
      <c r="D2" s="61"/>
      <c r="E2" s="61"/>
      <c r="F2" s="61"/>
      <c r="G2" s="61"/>
      <c r="H2" s="61"/>
      <c r="I2" s="61"/>
      <c r="J2" s="61"/>
      <c r="K2" s="61"/>
      <c r="L2" s="61"/>
    </row>
    <row r="4" spans="1:12" ht="15.6">
      <c r="A4" s="61" t="s">
        <v>277</v>
      </c>
      <c r="B4" s="61"/>
      <c r="C4" s="61"/>
      <c r="D4" s="61"/>
      <c r="E4" s="61"/>
      <c r="F4" s="61"/>
      <c r="G4" s="61"/>
      <c r="H4" s="61"/>
      <c r="I4" s="61"/>
      <c r="J4" s="61"/>
      <c r="K4" s="61"/>
      <c r="L4" s="61"/>
    </row>
    <row r="5" spans="1:12">
      <c r="A5" s="67" t="s">
        <v>278</v>
      </c>
      <c r="B5" s="67"/>
      <c r="C5" s="67"/>
      <c r="D5" s="67"/>
      <c r="E5" s="67"/>
      <c r="F5" s="67"/>
      <c r="G5" s="67"/>
      <c r="H5" s="67"/>
      <c r="I5" s="67"/>
      <c r="J5" s="67"/>
      <c r="K5" s="67"/>
      <c r="L5" s="67"/>
    </row>
    <row r="6" spans="1:12">
      <c r="A6" s="67"/>
      <c r="B6" s="67"/>
      <c r="C6" s="67"/>
      <c r="D6" s="67"/>
      <c r="E6" s="67"/>
      <c r="F6" s="67"/>
      <c r="G6" s="67"/>
      <c r="H6" s="67"/>
      <c r="I6" s="67"/>
      <c r="J6" s="67"/>
      <c r="K6" s="67"/>
      <c r="L6" s="67"/>
    </row>
    <row r="7" spans="1:12">
      <c r="A7" s="67"/>
      <c r="B7" s="67"/>
      <c r="C7" s="67"/>
      <c r="D7" s="67"/>
      <c r="E7" s="67"/>
      <c r="F7" s="67"/>
      <c r="G7" s="67"/>
      <c r="H7" s="67"/>
      <c r="I7" s="67"/>
      <c r="J7" s="67"/>
      <c r="K7" s="67"/>
      <c r="L7" s="67"/>
    </row>
    <row r="8" spans="1:12">
      <c r="A8" s="67"/>
      <c r="B8" s="67"/>
      <c r="C8" s="67"/>
      <c r="D8" s="67"/>
      <c r="E8" s="67"/>
      <c r="F8" s="67"/>
      <c r="G8" s="67"/>
      <c r="H8" s="67"/>
      <c r="I8" s="67"/>
      <c r="J8" s="67"/>
      <c r="K8" s="67"/>
      <c r="L8" s="67"/>
    </row>
    <row r="9" spans="1:12">
      <c r="A9" s="67"/>
      <c r="B9" s="67"/>
      <c r="C9" s="67"/>
      <c r="D9" s="67"/>
      <c r="E9" s="67"/>
      <c r="F9" s="67"/>
      <c r="G9" s="67"/>
      <c r="H9" s="67"/>
      <c r="I9" s="67"/>
      <c r="J9" s="67"/>
      <c r="K9" s="67"/>
      <c r="L9" s="67"/>
    </row>
    <row r="11" spans="1:12" ht="15.6">
      <c r="A11" s="61" t="s">
        <v>279</v>
      </c>
      <c r="B11" s="61"/>
      <c r="C11" s="61"/>
      <c r="D11" s="61"/>
      <c r="E11" s="61"/>
      <c r="F11" s="61"/>
      <c r="G11" s="61"/>
      <c r="H11" s="61"/>
      <c r="I11" s="61"/>
      <c r="J11" s="61"/>
      <c r="K11" s="61"/>
      <c r="L11" s="61"/>
    </row>
    <row r="12" spans="1:12">
      <c r="A12" s="67" t="s">
        <v>280</v>
      </c>
      <c r="B12" s="67"/>
      <c r="C12" s="67"/>
      <c r="D12" s="67"/>
      <c r="E12" s="67"/>
      <c r="F12" s="67"/>
      <c r="G12" s="67"/>
      <c r="H12" s="67"/>
      <c r="I12" s="67"/>
      <c r="J12" s="67"/>
      <c r="K12" s="67"/>
      <c r="L12" s="67"/>
    </row>
    <row r="13" spans="1:12">
      <c r="A13" s="67"/>
      <c r="B13" s="67"/>
      <c r="C13" s="67"/>
      <c r="D13" s="67"/>
      <c r="E13" s="67"/>
      <c r="F13" s="67"/>
      <c r="G13" s="67"/>
      <c r="H13" s="67"/>
      <c r="I13" s="67"/>
      <c r="J13" s="67"/>
      <c r="K13" s="67"/>
      <c r="L13" s="67"/>
    </row>
    <row r="14" spans="1:12">
      <c r="A14" s="67"/>
      <c r="B14" s="67"/>
      <c r="C14" s="67"/>
      <c r="D14" s="67"/>
      <c r="E14" s="67"/>
      <c r="F14" s="67"/>
      <c r="G14" s="67"/>
      <c r="H14" s="67"/>
      <c r="I14" s="67"/>
      <c r="J14" s="67"/>
      <c r="K14" s="67"/>
      <c r="L14" s="67"/>
    </row>
    <row r="15" spans="1:12">
      <c r="A15" s="67"/>
      <c r="B15" s="67"/>
      <c r="C15" s="67"/>
      <c r="D15" s="67"/>
      <c r="E15" s="67"/>
      <c r="F15" s="67"/>
      <c r="G15" s="67"/>
      <c r="H15" s="67"/>
      <c r="I15" s="67"/>
      <c r="J15" s="67"/>
      <c r="K15" s="67"/>
      <c r="L15" s="67"/>
    </row>
    <row r="16" spans="1:12">
      <c r="A16" s="67"/>
      <c r="B16" s="67"/>
      <c r="C16" s="67"/>
      <c r="D16" s="67"/>
      <c r="E16" s="67"/>
      <c r="F16" s="67"/>
      <c r="G16" s="67"/>
      <c r="H16" s="67"/>
      <c r="I16" s="67"/>
      <c r="J16" s="67"/>
      <c r="K16" s="67"/>
      <c r="L16" s="67"/>
    </row>
    <row r="18" spans="1:12" ht="15.6">
      <c r="A18" s="66" t="s">
        <v>281</v>
      </c>
      <c r="B18" s="66"/>
      <c r="C18" s="66"/>
      <c r="D18" s="66"/>
      <c r="E18" s="66"/>
      <c r="F18" s="66"/>
      <c r="G18" s="66"/>
      <c r="H18" s="66"/>
      <c r="I18" s="66"/>
      <c r="J18" s="66"/>
      <c r="K18" s="66"/>
      <c r="L18" s="66"/>
    </row>
    <row r="19" spans="1:12">
      <c r="A19" s="68" t="s">
        <v>282</v>
      </c>
      <c r="B19" s="68"/>
      <c r="C19" s="68"/>
      <c r="D19" s="68"/>
      <c r="E19" s="68"/>
      <c r="F19" s="68"/>
      <c r="G19" s="68"/>
      <c r="H19" s="68"/>
      <c r="I19" s="68"/>
      <c r="J19" s="68"/>
      <c r="K19" s="68"/>
      <c r="L19" s="68"/>
    </row>
    <row r="20" spans="1:12">
      <c r="A20" s="68"/>
      <c r="B20" s="68"/>
      <c r="C20" s="68"/>
      <c r="D20" s="68"/>
      <c r="E20" s="68"/>
      <c r="F20" s="68"/>
      <c r="G20" s="68"/>
      <c r="H20" s="68"/>
      <c r="I20" s="68"/>
      <c r="J20" s="68"/>
      <c r="K20" s="68"/>
      <c r="L20" s="68"/>
    </row>
    <row r="21" spans="1:12">
      <c r="A21" s="68"/>
      <c r="B21" s="68"/>
      <c r="C21" s="68"/>
      <c r="D21" s="68"/>
      <c r="E21" s="68"/>
      <c r="F21" s="68"/>
      <c r="G21" s="68"/>
      <c r="H21" s="68"/>
      <c r="I21" s="68"/>
      <c r="J21" s="68"/>
      <c r="K21" s="68"/>
      <c r="L21" s="68"/>
    </row>
    <row r="22" spans="1:12">
      <c r="A22" s="68"/>
      <c r="B22" s="68"/>
      <c r="C22" s="68"/>
      <c r="D22" s="68"/>
      <c r="E22" s="68"/>
      <c r="F22" s="68"/>
      <c r="G22" s="68"/>
      <c r="H22" s="68"/>
      <c r="I22" s="68"/>
      <c r="J22" s="68"/>
      <c r="K22" s="68"/>
      <c r="L22" s="68"/>
    </row>
    <row r="23" spans="1:12">
      <c r="A23" s="68"/>
      <c r="B23" s="68"/>
      <c r="C23" s="68"/>
      <c r="D23" s="68"/>
      <c r="E23" s="68"/>
      <c r="F23" s="68"/>
      <c r="G23" s="68"/>
      <c r="H23" s="68"/>
      <c r="I23" s="68"/>
      <c r="J23" s="68"/>
      <c r="K23" s="68"/>
      <c r="L23" s="68"/>
    </row>
    <row r="24" spans="1:12">
      <c r="A24" s="68"/>
      <c r="B24" s="68"/>
      <c r="C24" s="68"/>
      <c r="D24" s="68"/>
      <c r="E24" s="68"/>
      <c r="F24" s="68"/>
      <c r="G24" s="68"/>
      <c r="H24" s="68"/>
      <c r="I24" s="68"/>
      <c r="J24" s="68"/>
      <c r="K24" s="68"/>
      <c r="L24" s="68"/>
    </row>
    <row r="25" spans="1:12">
      <c r="A25" s="68"/>
      <c r="B25" s="68"/>
      <c r="C25" s="68"/>
      <c r="D25" s="68"/>
      <c r="E25" s="68"/>
      <c r="F25" s="68"/>
      <c r="G25" s="68"/>
      <c r="H25" s="68"/>
      <c r="I25" s="68"/>
      <c r="J25" s="68"/>
      <c r="K25" s="68"/>
      <c r="L25" s="68"/>
    </row>
    <row r="26" spans="1:12">
      <c r="A26" s="68"/>
      <c r="B26" s="68"/>
      <c r="C26" s="68"/>
      <c r="D26" s="68"/>
      <c r="E26" s="68"/>
      <c r="F26" s="68"/>
      <c r="G26" s="68"/>
      <c r="H26" s="68"/>
      <c r="I26" s="68"/>
      <c r="J26" s="68"/>
      <c r="K26" s="68"/>
      <c r="L26" s="68"/>
    </row>
    <row r="27" spans="1:12">
      <c r="A27" s="68"/>
      <c r="B27" s="68"/>
      <c r="C27" s="68"/>
      <c r="D27" s="68"/>
      <c r="E27" s="68"/>
      <c r="F27" s="68"/>
      <c r="G27" s="68"/>
      <c r="H27" s="68"/>
      <c r="I27" s="68"/>
      <c r="J27" s="68"/>
      <c r="K27" s="68"/>
      <c r="L27" s="68"/>
    </row>
    <row r="29" spans="1:12" ht="15.6">
      <c r="A29" s="61" t="s">
        <v>283</v>
      </c>
      <c r="B29" s="61"/>
      <c r="C29" s="61"/>
      <c r="D29" s="61"/>
      <c r="E29" s="61"/>
      <c r="F29" s="61"/>
      <c r="G29" s="61"/>
      <c r="H29" s="61"/>
      <c r="I29" s="61"/>
      <c r="J29" s="61"/>
      <c r="K29" s="61"/>
      <c r="L29" s="61"/>
    </row>
    <row r="30" spans="1:12">
      <c r="A30" s="62" t="s">
        <v>284</v>
      </c>
      <c r="B30" s="62"/>
      <c r="C30" s="62"/>
      <c r="D30" s="62"/>
      <c r="E30" s="62"/>
      <c r="F30" s="62"/>
      <c r="G30" s="62"/>
      <c r="H30" s="62"/>
      <c r="I30" s="62"/>
      <c r="J30" s="62"/>
      <c r="K30" s="62"/>
      <c r="L30" s="62"/>
    </row>
    <row r="31" spans="1:12">
      <c r="A31" s="62"/>
      <c r="B31" s="62"/>
      <c r="C31" s="62"/>
      <c r="D31" s="62"/>
      <c r="E31" s="62"/>
      <c r="F31" s="62"/>
      <c r="G31" s="62"/>
      <c r="H31" s="62"/>
      <c r="I31" s="62"/>
      <c r="J31" s="62"/>
      <c r="K31" s="62"/>
      <c r="L31" s="62"/>
    </row>
    <row r="32" spans="1:12">
      <c r="A32" s="62"/>
      <c r="B32" s="62"/>
      <c r="C32" s="62"/>
      <c r="D32" s="62"/>
      <c r="E32" s="62"/>
      <c r="F32" s="62"/>
      <c r="G32" s="62"/>
      <c r="H32" s="62"/>
      <c r="I32" s="62"/>
      <c r="J32" s="62"/>
      <c r="K32" s="62"/>
      <c r="L32" s="62"/>
    </row>
    <row r="33" spans="1:12">
      <c r="A33" s="62"/>
      <c r="B33" s="62"/>
      <c r="C33" s="62"/>
      <c r="D33" s="62"/>
      <c r="E33" s="62"/>
      <c r="F33" s="62"/>
      <c r="G33" s="62"/>
      <c r="H33" s="62"/>
      <c r="I33" s="62"/>
      <c r="J33" s="62"/>
      <c r="K33" s="62"/>
      <c r="L33" s="62"/>
    </row>
    <row r="34" spans="1:12">
      <c r="A34" s="62"/>
      <c r="B34" s="62"/>
      <c r="C34" s="62"/>
      <c r="D34" s="62"/>
      <c r="E34" s="62"/>
      <c r="F34" s="62"/>
      <c r="G34" s="62"/>
      <c r="H34" s="62"/>
      <c r="I34" s="62"/>
      <c r="J34" s="62"/>
      <c r="K34" s="62"/>
      <c r="L34" s="62"/>
    </row>
    <row r="35" spans="1:12">
      <c r="A35" s="62"/>
      <c r="B35" s="62"/>
      <c r="C35" s="62"/>
      <c r="D35" s="62"/>
      <c r="E35" s="62"/>
      <c r="F35" s="62"/>
      <c r="G35" s="62"/>
      <c r="H35" s="62"/>
      <c r="I35" s="62"/>
      <c r="J35" s="62"/>
      <c r="K35" s="62"/>
      <c r="L35" s="62"/>
    </row>
    <row r="36" spans="1:12">
      <c r="A36" s="62"/>
      <c r="B36" s="62"/>
      <c r="C36" s="62"/>
      <c r="D36" s="62"/>
      <c r="E36" s="62"/>
      <c r="F36" s="62"/>
      <c r="G36" s="62"/>
      <c r="H36" s="62"/>
      <c r="I36" s="62"/>
      <c r="J36" s="62"/>
      <c r="K36" s="62"/>
      <c r="L36" s="62"/>
    </row>
    <row r="37" spans="1:12" ht="15.6">
      <c r="A37" s="63" t="s">
        <v>285</v>
      </c>
      <c r="B37" s="63"/>
      <c r="C37" s="63"/>
      <c r="D37" s="63"/>
      <c r="E37" s="63"/>
      <c r="F37" s="63"/>
      <c r="G37" s="63"/>
      <c r="H37" s="63"/>
      <c r="I37" s="63"/>
      <c r="J37" s="63"/>
      <c r="K37" s="63"/>
      <c r="L37" s="63"/>
    </row>
    <row r="38" spans="1:12">
      <c r="A38" s="64" t="s">
        <v>287</v>
      </c>
      <c r="B38" s="64"/>
      <c r="C38" s="64"/>
      <c r="D38" s="64"/>
      <c r="E38" s="64"/>
      <c r="F38" s="64"/>
      <c r="G38" s="64"/>
      <c r="H38" s="64"/>
      <c r="I38" s="64"/>
      <c r="J38" s="64"/>
      <c r="K38" s="64"/>
      <c r="L38" s="64"/>
    </row>
    <row r="39" spans="1:12">
      <c r="A39" s="64"/>
      <c r="B39" s="64"/>
      <c r="C39" s="64"/>
      <c r="D39" s="64"/>
      <c r="E39" s="64"/>
      <c r="F39" s="64"/>
      <c r="G39" s="64"/>
      <c r="H39" s="64"/>
      <c r="I39" s="64"/>
      <c r="J39" s="64"/>
      <c r="K39" s="64"/>
      <c r="L39" s="64"/>
    </row>
    <row r="40" spans="1:12">
      <c r="A40" s="64"/>
      <c r="B40" s="64"/>
      <c r="C40" s="64"/>
      <c r="D40" s="64"/>
      <c r="E40" s="64"/>
      <c r="F40" s="64"/>
      <c r="G40" s="64"/>
      <c r="H40" s="64"/>
      <c r="I40" s="64"/>
      <c r="J40" s="64"/>
      <c r="K40" s="64"/>
      <c r="L40" s="64"/>
    </row>
    <row r="41" spans="1:12">
      <c r="A41" s="64"/>
      <c r="B41" s="64"/>
      <c r="C41" s="64"/>
      <c r="D41" s="64"/>
      <c r="E41" s="64"/>
      <c r="F41" s="64"/>
      <c r="G41" s="64"/>
      <c r="H41" s="64"/>
      <c r="I41" s="64"/>
      <c r="J41" s="64"/>
      <c r="K41" s="64"/>
      <c r="L41" s="64"/>
    </row>
    <row r="42" spans="1:12">
      <c r="A42" s="64"/>
      <c r="B42" s="64"/>
      <c r="C42" s="64"/>
      <c r="D42" s="64"/>
      <c r="E42" s="64"/>
      <c r="F42" s="64"/>
      <c r="G42" s="64"/>
      <c r="H42" s="64"/>
      <c r="I42" s="64"/>
      <c r="J42" s="64"/>
      <c r="K42" s="64"/>
      <c r="L42" s="64"/>
    </row>
    <row r="43" spans="1:12">
      <c r="A43" s="64"/>
      <c r="B43" s="64"/>
      <c r="C43" s="64"/>
      <c r="D43" s="64"/>
      <c r="E43" s="64"/>
      <c r="F43" s="64"/>
      <c r="G43" s="64"/>
      <c r="H43" s="64"/>
      <c r="I43" s="64"/>
      <c r="J43" s="64"/>
      <c r="K43" s="64"/>
      <c r="L43" s="64"/>
    </row>
    <row r="44" spans="1:12">
      <c r="A44" s="64"/>
      <c r="B44" s="64"/>
      <c r="C44" s="64"/>
      <c r="D44" s="64"/>
      <c r="E44" s="64"/>
      <c r="F44" s="64"/>
      <c r="G44" s="64"/>
      <c r="H44" s="64"/>
      <c r="I44" s="64"/>
      <c r="J44" s="64"/>
      <c r="K44" s="64"/>
      <c r="L44" s="64"/>
    </row>
    <row r="45" spans="1:12">
      <c r="A45" s="64"/>
      <c r="B45" s="64"/>
      <c r="C45" s="64"/>
      <c r="D45" s="64"/>
      <c r="E45" s="64"/>
      <c r="F45" s="64"/>
      <c r="G45" s="64"/>
      <c r="H45" s="64"/>
      <c r="I45" s="64"/>
      <c r="J45" s="64"/>
      <c r="K45" s="64"/>
      <c r="L45" s="64"/>
    </row>
    <row r="46" spans="1:12">
      <c r="A46" s="64"/>
      <c r="B46" s="64"/>
      <c r="C46" s="64"/>
      <c r="D46" s="64"/>
      <c r="E46" s="64"/>
      <c r="F46" s="64"/>
      <c r="G46" s="64"/>
      <c r="H46" s="64"/>
      <c r="I46" s="64"/>
      <c r="J46" s="64"/>
      <c r="K46" s="64"/>
      <c r="L46" s="64"/>
    </row>
    <row r="47" spans="1:12">
      <c r="A47" s="64"/>
      <c r="B47" s="64"/>
      <c r="C47" s="64"/>
      <c r="D47" s="64"/>
      <c r="E47" s="64"/>
      <c r="F47" s="64"/>
      <c r="G47" s="64"/>
      <c r="H47" s="64"/>
      <c r="I47" s="64"/>
      <c r="J47" s="64"/>
      <c r="K47" s="64"/>
      <c r="L47" s="64"/>
    </row>
    <row r="48" spans="1:12">
      <c r="A48" s="64"/>
      <c r="B48" s="64"/>
      <c r="C48" s="64"/>
      <c r="D48" s="64"/>
      <c r="E48" s="64"/>
      <c r="F48" s="64"/>
      <c r="G48" s="64"/>
      <c r="H48" s="64"/>
      <c r="I48" s="64"/>
      <c r="J48" s="64"/>
      <c r="K48" s="64"/>
      <c r="L48" s="64"/>
    </row>
    <row r="49" spans="1:12">
      <c r="A49" s="64"/>
      <c r="B49" s="64"/>
      <c r="C49" s="64"/>
      <c r="D49" s="64"/>
      <c r="E49" s="64"/>
      <c r="F49" s="64"/>
      <c r="G49" s="64"/>
      <c r="H49" s="64"/>
      <c r="I49" s="64"/>
      <c r="J49" s="64"/>
      <c r="K49" s="64"/>
      <c r="L49" s="64"/>
    </row>
    <row r="50" spans="1:12" ht="15.6">
      <c r="A50" s="65" t="s">
        <v>288</v>
      </c>
      <c r="B50" s="65"/>
      <c r="C50" s="65"/>
      <c r="D50" s="65"/>
      <c r="E50" s="65"/>
      <c r="F50" s="65"/>
      <c r="G50" s="65"/>
      <c r="H50" s="65"/>
      <c r="I50" s="65"/>
      <c r="J50" s="65"/>
      <c r="K50" s="65"/>
      <c r="L50" s="65"/>
    </row>
    <row r="51" spans="1:12">
      <c r="A51" s="64" t="s">
        <v>286</v>
      </c>
      <c r="B51" s="64"/>
      <c r="C51" s="64"/>
      <c r="D51" s="64"/>
      <c r="E51" s="64"/>
      <c r="F51" s="64"/>
      <c r="G51" s="64"/>
      <c r="H51" s="64"/>
      <c r="I51" s="64"/>
      <c r="J51" s="64"/>
      <c r="K51" s="64"/>
      <c r="L51" s="64"/>
    </row>
    <row r="52" spans="1:12">
      <c r="A52" s="64"/>
      <c r="B52" s="64"/>
      <c r="C52" s="64"/>
      <c r="D52" s="64"/>
      <c r="E52" s="64"/>
      <c r="F52" s="64"/>
      <c r="G52" s="64"/>
      <c r="H52" s="64"/>
      <c r="I52" s="64"/>
      <c r="J52" s="64"/>
      <c r="K52" s="64"/>
      <c r="L52" s="64"/>
    </row>
    <row r="53" spans="1:12">
      <c r="A53" s="64"/>
      <c r="B53" s="64"/>
      <c r="C53" s="64"/>
      <c r="D53" s="64"/>
      <c r="E53" s="64"/>
      <c r="F53" s="64"/>
      <c r="G53" s="64"/>
      <c r="H53" s="64"/>
      <c r="I53" s="64"/>
      <c r="J53" s="64"/>
      <c r="K53" s="64"/>
      <c r="L53" s="64"/>
    </row>
    <row r="54" spans="1:12">
      <c r="A54" s="64"/>
      <c r="B54" s="64"/>
      <c r="C54" s="64"/>
      <c r="D54" s="64"/>
      <c r="E54" s="64"/>
      <c r="F54" s="64"/>
      <c r="G54" s="64"/>
      <c r="H54" s="64"/>
      <c r="I54" s="64"/>
      <c r="J54" s="64"/>
      <c r="K54" s="64"/>
      <c r="L54" s="64"/>
    </row>
    <row r="55" spans="1:12">
      <c r="A55" s="64"/>
      <c r="B55" s="64"/>
      <c r="C55" s="64"/>
      <c r="D55" s="64"/>
      <c r="E55" s="64"/>
      <c r="F55" s="64"/>
      <c r="G55" s="64"/>
      <c r="H55" s="64"/>
      <c r="I55" s="64"/>
      <c r="J55" s="64"/>
      <c r="K55" s="64"/>
      <c r="L55" s="64"/>
    </row>
    <row r="56" spans="1:12">
      <c r="A56" s="64"/>
      <c r="B56" s="64"/>
      <c r="C56" s="64"/>
      <c r="D56" s="64"/>
      <c r="E56" s="64"/>
      <c r="F56" s="64"/>
      <c r="G56" s="64"/>
      <c r="H56" s="64"/>
      <c r="I56" s="64"/>
      <c r="J56" s="64"/>
      <c r="K56" s="64"/>
      <c r="L56" s="64"/>
    </row>
    <row r="57" spans="1:12">
      <c r="A57" s="64"/>
      <c r="B57" s="64"/>
      <c r="C57" s="64"/>
      <c r="D57" s="64"/>
      <c r="E57" s="64"/>
      <c r="F57" s="64"/>
      <c r="G57" s="64"/>
      <c r="H57" s="64"/>
      <c r="I57" s="64"/>
      <c r="J57" s="64"/>
      <c r="K57" s="64"/>
      <c r="L57" s="64"/>
    </row>
  </sheetData>
  <mergeCells count="13">
    <mergeCell ref="A51:L57"/>
    <mergeCell ref="A1:L2"/>
    <mergeCell ref="A4:L4"/>
    <mergeCell ref="A5:L9"/>
    <mergeCell ref="A11:L11"/>
    <mergeCell ref="A12:L16"/>
    <mergeCell ref="A18:L18"/>
    <mergeCell ref="A19:L27"/>
    <mergeCell ref="A29:L29"/>
    <mergeCell ref="A30:L36"/>
    <mergeCell ref="A37:L37"/>
    <mergeCell ref="A38:L49"/>
    <mergeCell ref="A50:L5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ED2A9-1ED4-4F6F-A9A2-CEE5961BA58A}">
  <dimension ref="A1:L11"/>
  <sheetViews>
    <sheetView topLeftCell="G3" workbookViewId="0">
      <selection activeCell="L17" sqref="L17"/>
    </sheetView>
  </sheetViews>
  <sheetFormatPr defaultRowHeight="14.4"/>
  <cols>
    <col min="1" max="1" width="14.6640625" customWidth="1"/>
    <col min="3" max="3" width="13.21875" customWidth="1"/>
    <col min="9" max="9" width="8.44140625" customWidth="1"/>
  </cols>
  <sheetData>
    <row r="1" spans="1:12">
      <c r="A1" s="77" t="s">
        <v>261</v>
      </c>
      <c r="B1" s="77"/>
      <c r="C1" s="77"/>
      <c r="D1" s="77"/>
      <c r="E1" s="77"/>
      <c r="F1" s="77"/>
      <c r="G1" s="77"/>
      <c r="H1" s="77"/>
      <c r="I1" s="77"/>
      <c r="J1" s="77"/>
      <c r="K1" s="77"/>
      <c r="L1" s="77"/>
    </row>
    <row r="2" spans="1:12">
      <c r="A2" s="77"/>
      <c r="B2" s="77"/>
      <c r="C2" s="77"/>
      <c r="D2" s="77"/>
      <c r="E2" s="77"/>
      <c r="F2" s="77"/>
      <c r="G2" s="77"/>
      <c r="H2" s="77"/>
      <c r="I2" s="77"/>
      <c r="J2" s="77"/>
      <c r="K2" s="77"/>
      <c r="L2" s="77"/>
    </row>
    <row r="4" spans="1:12">
      <c r="A4" s="41" t="s">
        <v>262</v>
      </c>
      <c r="B4" s="42" t="str">
        <f>CHOOSE(Scenarios!F2,"Base","Upside","Downside")</f>
        <v>Base</v>
      </c>
    </row>
    <row r="6" spans="1:12">
      <c r="A6" s="78" t="s">
        <v>25</v>
      </c>
      <c r="B6" s="79"/>
      <c r="C6" s="69" t="s">
        <v>23</v>
      </c>
      <c r="D6" s="70"/>
      <c r="E6" s="69" t="s">
        <v>44</v>
      </c>
      <c r="F6" s="70"/>
      <c r="G6" s="69" t="s">
        <v>47</v>
      </c>
      <c r="H6" s="70"/>
      <c r="I6" s="69" t="s">
        <v>29</v>
      </c>
      <c r="J6" s="70"/>
      <c r="K6" s="69" t="s">
        <v>215</v>
      </c>
      <c r="L6" s="70"/>
    </row>
    <row r="7" spans="1:12">
      <c r="A7" s="75">
        <f>Rev_Build!N18</f>
        <v>27204154.684898496</v>
      </c>
      <c r="B7" s="76"/>
      <c r="C7" s="75">
        <f>Rev_Build!M15</f>
        <v>30322700.003460918</v>
      </c>
      <c r="D7" s="76"/>
      <c r="E7" s="80">
        <f>Customer_Metrics!B16</f>
        <v>1.087310661915508</v>
      </c>
      <c r="F7" s="81"/>
      <c r="G7" s="80">
        <f>Customer_Metrics!B15</f>
        <v>0.81403338034980821</v>
      </c>
      <c r="H7" s="81"/>
      <c r="I7" s="84">
        <f>Three_Statement!N5</f>
        <v>0.83996384084245257</v>
      </c>
      <c r="J7" s="85"/>
      <c r="K7" s="75">
        <f>Three_Statement!O7</f>
        <v>-2486073.613667387</v>
      </c>
      <c r="L7" s="76"/>
    </row>
    <row r="10" spans="1:12" ht="14.4" customHeight="1">
      <c r="A10" s="69" t="s">
        <v>43</v>
      </c>
      <c r="B10" s="70"/>
      <c r="C10" s="69" t="s">
        <v>46</v>
      </c>
      <c r="D10" s="70"/>
      <c r="E10" s="69" t="s">
        <v>263</v>
      </c>
      <c r="F10" s="70"/>
      <c r="G10" s="86" t="s">
        <v>264</v>
      </c>
      <c r="H10" s="87"/>
      <c r="I10" s="69" t="s">
        <v>265</v>
      </c>
      <c r="J10" s="70"/>
      <c r="K10" s="69" t="s">
        <v>266</v>
      </c>
      <c r="L10" s="70"/>
    </row>
    <row r="11" spans="1:12">
      <c r="A11" s="71">
        <f>Customer_Metrics!B22</f>
        <v>4.8447204968944098</v>
      </c>
      <c r="B11" s="72"/>
      <c r="C11" s="73">
        <f>Customer_Metrics!B19</f>
        <v>19.071479457267863</v>
      </c>
      <c r="D11" s="74"/>
      <c r="E11" s="75">
        <f>Three_Statement!N59</f>
        <v>26652359.870646987</v>
      </c>
      <c r="F11" s="76"/>
      <c r="G11" s="88">
        <f>Headcount_Plan!B48</f>
        <v>138.6</v>
      </c>
      <c r="H11" s="89"/>
      <c r="I11" s="90">
        <f>Rev_Build!N18/Headcount_Plan!B48</f>
        <v>196278.17232971499</v>
      </c>
      <c r="J11" s="91"/>
      <c r="K11" s="82" t="str">
        <f>Cash_Flow!B17</f>
        <v>October FY26</v>
      </c>
      <c r="L11" s="83"/>
    </row>
  </sheetData>
  <mergeCells count="25">
    <mergeCell ref="K10:L10"/>
    <mergeCell ref="K11:L11"/>
    <mergeCell ref="G6:H6"/>
    <mergeCell ref="G7:H7"/>
    <mergeCell ref="I6:J6"/>
    <mergeCell ref="I7:J7"/>
    <mergeCell ref="K6:L6"/>
    <mergeCell ref="K7:L7"/>
    <mergeCell ref="G10:H10"/>
    <mergeCell ref="G11:H11"/>
    <mergeCell ref="I10:J10"/>
    <mergeCell ref="I11:J11"/>
    <mergeCell ref="A1:L2"/>
    <mergeCell ref="A6:B6"/>
    <mergeCell ref="A7:B7"/>
    <mergeCell ref="C6:D6"/>
    <mergeCell ref="C7:D7"/>
    <mergeCell ref="E6:F6"/>
    <mergeCell ref="E7:F7"/>
    <mergeCell ref="A10:B10"/>
    <mergeCell ref="A11:B11"/>
    <mergeCell ref="C10:D10"/>
    <mergeCell ref="C11:D11"/>
    <mergeCell ref="E10:F10"/>
    <mergeCell ref="E11:F11"/>
  </mergeCells>
  <conditionalFormatting sqref="B4">
    <cfRule type="cellIs" dxfId="2" priority="1" operator="equal">
      <formula>"Downside"</formula>
    </cfRule>
    <cfRule type="cellIs" dxfId="1" priority="2" operator="equal">
      <formula>"Upside"</formula>
    </cfRule>
    <cfRule type="cellIs" dxfId="0" priority="3" operator="equal">
      <formula>"base"</formula>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414C4-821E-4C46-942C-1354D4EFABA8}">
  <dimension ref="A1:C10"/>
  <sheetViews>
    <sheetView topLeftCell="P9" zoomScale="51" workbookViewId="0">
      <selection activeCell="S20" sqref="S20"/>
    </sheetView>
  </sheetViews>
  <sheetFormatPr defaultRowHeight="14.4"/>
  <cols>
    <col min="1" max="1" width="25.88671875" customWidth="1"/>
    <col min="2" max="2" width="27.6640625" customWidth="1"/>
    <col min="3" max="3" width="20.88671875" customWidth="1"/>
  </cols>
  <sheetData>
    <row r="1" spans="1:3">
      <c r="A1" t="s">
        <v>190</v>
      </c>
    </row>
    <row r="2" spans="1:3" ht="15.6">
      <c r="A2" s="35" t="s">
        <v>131</v>
      </c>
      <c r="B2" s="35" t="s">
        <v>191</v>
      </c>
      <c r="C2" s="36" t="s">
        <v>49</v>
      </c>
    </row>
    <row r="3" spans="1:3" ht="57.6">
      <c r="A3" s="34" t="s">
        <v>192</v>
      </c>
      <c r="B3" s="34" t="s">
        <v>193</v>
      </c>
      <c r="C3" s="31" t="s">
        <v>194</v>
      </c>
    </row>
    <row r="4" spans="1:3" ht="57.6">
      <c r="A4" s="31" t="s">
        <v>195</v>
      </c>
      <c r="B4" s="31" t="s">
        <v>196</v>
      </c>
      <c r="C4" s="31" t="s">
        <v>197</v>
      </c>
    </row>
    <row r="5" spans="1:3" ht="57.6">
      <c r="A5" s="31" t="s">
        <v>200</v>
      </c>
      <c r="B5" s="31" t="s">
        <v>201</v>
      </c>
      <c r="C5" s="31" t="s">
        <v>197</v>
      </c>
    </row>
    <row r="6" spans="1:3" ht="72">
      <c r="A6" s="31" t="s">
        <v>198</v>
      </c>
      <c r="B6" s="31" t="s">
        <v>199</v>
      </c>
      <c r="C6" s="31" t="s">
        <v>194</v>
      </c>
    </row>
    <row r="7" spans="1:3" ht="86.4">
      <c r="A7" s="31" t="s">
        <v>202</v>
      </c>
      <c r="B7" s="31" t="s">
        <v>203</v>
      </c>
      <c r="C7" s="31" t="s">
        <v>204</v>
      </c>
    </row>
    <row r="8" spans="1:3" ht="72">
      <c r="A8" s="31" t="s">
        <v>205</v>
      </c>
      <c r="B8" s="31" t="s">
        <v>206</v>
      </c>
      <c r="C8" s="31" t="s">
        <v>209</v>
      </c>
    </row>
    <row r="9" spans="1:3" ht="86.4">
      <c r="A9" s="31" t="s">
        <v>207</v>
      </c>
      <c r="B9" s="31" t="s">
        <v>208</v>
      </c>
      <c r="C9" s="31" t="s">
        <v>210</v>
      </c>
    </row>
    <row r="10" spans="1:3" ht="86.4">
      <c r="A10" s="31" t="s">
        <v>29</v>
      </c>
      <c r="B10" s="31" t="s">
        <v>211</v>
      </c>
      <c r="C10" s="31" t="s">
        <v>210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40AC9-0ADE-46ED-8D6A-D1D2C936196F}">
  <dimension ref="A1:N20"/>
  <sheetViews>
    <sheetView zoomScale="86" zoomScaleNormal="86" workbookViewId="0">
      <selection activeCell="M15" sqref="M15"/>
    </sheetView>
  </sheetViews>
  <sheetFormatPr defaultRowHeight="14.4"/>
  <cols>
    <col min="1" max="1" width="30.6640625" customWidth="1"/>
    <col min="2" max="2" width="16" customWidth="1"/>
    <col min="3" max="3" width="17.109375" customWidth="1"/>
    <col min="4" max="4" width="14.5546875" customWidth="1"/>
    <col min="5" max="5" width="16" customWidth="1"/>
    <col min="6" max="6" width="16.33203125" customWidth="1"/>
    <col min="7" max="7" width="16.6640625" customWidth="1"/>
    <col min="8" max="8" width="16.5546875" customWidth="1"/>
    <col min="9" max="9" width="19.6640625" customWidth="1"/>
    <col min="10" max="10" width="15.5546875" customWidth="1"/>
    <col min="11" max="11" width="15" customWidth="1"/>
    <col min="12" max="12" width="17.33203125" customWidth="1"/>
    <col min="13" max="13" width="16.109375" customWidth="1"/>
    <col min="14" max="14" width="15.44140625" bestFit="1" customWidth="1"/>
  </cols>
  <sheetData>
    <row r="1" spans="1:14">
      <c r="A1" t="s">
        <v>0</v>
      </c>
      <c r="B1">
        <v>24000000</v>
      </c>
    </row>
    <row r="2" spans="1:14">
      <c r="A2" t="s">
        <v>1</v>
      </c>
      <c r="B2">
        <f>CHOOSE(Scenarios!$F$2,Scenarios!$B$2,Scenarios!$C$2,Scenarios!$D$2)</f>
        <v>280000</v>
      </c>
    </row>
    <row r="3" spans="1:14">
      <c r="A3" t="s">
        <v>2</v>
      </c>
      <c r="B3" s="1">
        <f>CHOOSE(Scenarios!$F$2,Scenarios!$B$3,Scenarios!$C$3,Scenarios!$D$3)</f>
        <v>0.05</v>
      </c>
    </row>
    <row r="4" spans="1:14">
      <c r="A4" t="s">
        <v>3</v>
      </c>
      <c r="B4" s="2">
        <f>CHOOSE(Scenarios!$F$2,Scenarios!$B$5,Scenarios!$C$5,Scenarios!$D$5)</f>
        <v>1.2999999999999999E-2</v>
      </c>
    </row>
    <row r="5" spans="1:14">
      <c r="A5" t="s">
        <v>4</v>
      </c>
      <c r="B5" s="2">
        <f>CHOOSE(Scenarios!$F$2,Scenarios!$B$4,Scenarios!$C$4,Scenarios!$D$4)</f>
        <v>2.4E-2</v>
      </c>
    </row>
    <row r="6" spans="1:14">
      <c r="A6" t="s">
        <v>5</v>
      </c>
      <c r="B6" s="2">
        <f>CHOOSE(Scenarios!$F$2,Scenarios!$B$6,Scenarios!$C$6,Scenarios!$D$6)</f>
        <v>4.0000000000000001E-3</v>
      </c>
    </row>
    <row r="9" spans="1:14" ht="15.6">
      <c r="B9" s="7" t="s">
        <v>6</v>
      </c>
      <c r="C9" s="7" t="s">
        <v>7</v>
      </c>
      <c r="D9" s="7" t="s">
        <v>8</v>
      </c>
      <c r="E9" s="7" t="s">
        <v>9</v>
      </c>
      <c r="F9" s="7" t="s">
        <v>10</v>
      </c>
      <c r="G9" s="7" t="s">
        <v>11</v>
      </c>
      <c r="H9" s="7" t="s">
        <v>12</v>
      </c>
      <c r="I9" s="7" t="s">
        <v>13</v>
      </c>
      <c r="J9" s="7" t="s">
        <v>14</v>
      </c>
      <c r="K9" s="7" t="s">
        <v>15</v>
      </c>
      <c r="L9" s="7" t="s">
        <v>16</v>
      </c>
      <c r="M9" s="7" t="s">
        <v>17</v>
      </c>
      <c r="N9" s="7" t="s">
        <v>26</v>
      </c>
    </row>
    <row r="10" spans="1:14">
      <c r="A10" t="s">
        <v>18</v>
      </c>
      <c r="B10" s="4">
        <f>B1</f>
        <v>24000000</v>
      </c>
      <c r="C10" s="5">
        <f>B15</f>
        <v>24448000</v>
      </c>
      <c r="D10" s="5">
        <f>C15</f>
        <v>24899136</v>
      </c>
      <c r="E10" s="5">
        <f>D15</f>
        <v>25353429.952</v>
      </c>
      <c r="F10" s="5">
        <f t="shared" ref="F10:M10" si="0">E15</f>
        <v>25824903.961663999</v>
      </c>
      <c r="G10" s="5">
        <f t="shared" si="0"/>
        <v>26314378.289395649</v>
      </c>
      <c r="H10" s="5">
        <f t="shared" si="0"/>
        <v>26822713.937421419</v>
      </c>
      <c r="I10" s="5">
        <f t="shared" si="0"/>
        <v>27350814.684983369</v>
      </c>
      <c r="J10" s="5">
        <f t="shared" si="0"/>
        <v>27899629.225278251</v>
      </c>
      <c r="K10" s="5">
        <f t="shared" si="0"/>
        <v>28470153.409230202</v>
      </c>
      <c r="L10" s="5">
        <f t="shared" si="0"/>
        <v>29063432.601438563</v>
      </c>
      <c r="M10" s="5">
        <f t="shared" si="0"/>
        <v>29680564.153909568</v>
      </c>
      <c r="N10" s="8">
        <f>SUM(B10:M10)</f>
        <v>320127156.215321</v>
      </c>
    </row>
    <row r="11" spans="1:14">
      <c r="A11" t="s">
        <v>19</v>
      </c>
      <c r="B11" s="3">
        <f>B2</f>
        <v>280000</v>
      </c>
      <c r="C11" s="3">
        <f>$B$2</f>
        <v>280000</v>
      </c>
      <c r="D11" s="3">
        <f>$B$2</f>
        <v>280000</v>
      </c>
      <c r="E11" s="3">
        <f>D11*(1+$B$3)</f>
        <v>294000</v>
      </c>
      <c r="F11" s="3">
        <f t="shared" ref="F11:M11" si="1">E11*(1+$B$3)</f>
        <v>308700</v>
      </c>
      <c r="G11" s="3">
        <f t="shared" si="1"/>
        <v>324135</v>
      </c>
      <c r="H11" s="3">
        <f t="shared" si="1"/>
        <v>340341.75</v>
      </c>
      <c r="I11" s="3">
        <f t="shared" si="1"/>
        <v>357358.83750000002</v>
      </c>
      <c r="J11" s="3">
        <f t="shared" si="1"/>
        <v>375226.77937500004</v>
      </c>
      <c r="K11" s="3">
        <f t="shared" si="1"/>
        <v>393988.11834375007</v>
      </c>
      <c r="L11" s="3">
        <f t="shared" si="1"/>
        <v>413687.52426093759</v>
      </c>
      <c r="M11" s="3">
        <f t="shared" si="1"/>
        <v>434371.90047398448</v>
      </c>
      <c r="N11" s="8">
        <f t="shared" ref="N11:N14" si="2">SUM(B11:M11)</f>
        <v>4081809.909953672</v>
      </c>
    </row>
    <row r="12" spans="1:14">
      <c r="A12" t="s">
        <v>20</v>
      </c>
      <c r="B12" s="6">
        <f>B10*$B$5</f>
        <v>576000</v>
      </c>
      <c r="C12" s="5">
        <f>C10*$B$5</f>
        <v>586752</v>
      </c>
      <c r="D12" s="5">
        <f>D10*$B$5</f>
        <v>597579.26399999997</v>
      </c>
      <c r="E12" s="5">
        <f>E10*$B$5</f>
        <v>608482.31884800002</v>
      </c>
      <c r="F12" s="5">
        <f t="shared" ref="F12:M12" si="3">F10*$B$5</f>
        <v>619797.69507993595</v>
      </c>
      <c r="G12" s="5">
        <f t="shared" si="3"/>
        <v>631545.07894549554</v>
      </c>
      <c r="H12" s="5">
        <f t="shared" si="3"/>
        <v>643745.13449811412</v>
      </c>
      <c r="I12" s="5">
        <f t="shared" si="3"/>
        <v>656419.55243960081</v>
      </c>
      <c r="J12" s="5">
        <f t="shared" si="3"/>
        <v>669591.10140667809</v>
      </c>
      <c r="K12" s="5">
        <f t="shared" si="3"/>
        <v>683283.68182152486</v>
      </c>
      <c r="L12" s="5">
        <f t="shared" si="3"/>
        <v>697522.38243452553</v>
      </c>
      <c r="M12" s="5">
        <f t="shared" si="3"/>
        <v>712333.5396938296</v>
      </c>
      <c r="N12" s="8">
        <f t="shared" si="2"/>
        <v>7683051.749167705</v>
      </c>
    </row>
    <row r="13" spans="1:14">
      <c r="A13" t="s">
        <v>21</v>
      </c>
      <c r="B13" s="3">
        <f>-B10*$B$4</f>
        <v>-312000</v>
      </c>
      <c r="C13" s="3">
        <f>-C10*$B$4</f>
        <v>-317824</v>
      </c>
      <c r="D13" s="3">
        <f>-D10*$B$4</f>
        <v>-323688.76799999998</v>
      </c>
      <c r="E13" s="3">
        <f>-E10*$B$4</f>
        <v>-329594.58937599999</v>
      </c>
      <c r="F13" s="3">
        <f t="shared" ref="F13:M13" si="4">-F10*$B$4</f>
        <v>-335723.75150163198</v>
      </c>
      <c r="G13" s="3">
        <f t="shared" si="4"/>
        <v>-342086.91776214342</v>
      </c>
      <c r="H13" s="3">
        <f t="shared" si="4"/>
        <v>-348695.28118647845</v>
      </c>
      <c r="I13" s="3">
        <f t="shared" si="4"/>
        <v>-355560.59090478381</v>
      </c>
      <c r="J13" s="3">
        <f t="shared" si="4"/>
        <v>-362695.17992861726</v>
      </c>
      <c r="K13" s="3">
        <f t="shared" si="4"/>
        <v>-370111.99431999261</v>
      </c>
      <c r="L13" s="3">
        <f t="shared" si="4"/>
        <v>-377824.62381870131</v>
      </c>
      <c r="M13" s="3">
        <f t="shared" si="4"/>
        <v>-385847.33400082437</v>
      </c>
      <c r="N13" s="8">
        <f t="shared" si="2"/>
        <v>-4161653.0307991728</v>
      </c>
    </row>
    <row r="14" spans="1:14">
      <c r="A14" t="s">
        <v>22</v>
      </c>
      <c r="B14" s="3">
        <f>-B10*$B$6</f>
        <v>-96000</v>
      </c>
      <c r="C14" s="3">
        <f>-C10*$B$6</f>
        <v>-97792</v>
      </c>
      <c r="D14" s="3">
        <f>-D10*$B$6</f>
        <v>-99596.544000000009</v>
      </c>
      <c r="E14" s="3">
        <f>-E10*$B$6</f>
        <v>-101413.71980799999</v>
      </c>
      <c r="F14" s="3">
        <f t="shared" ref="F14:M14" si="5">-F10*$B$6</f>
        <v>-103299.615846656</v>
      </c>
      <c r="G14" s="3">
        <f t="shared" si="5"/>
        <v>-105257.51315758259</v>
      </c>
      <c r="H14" s="3">
        <f t="shared" si="5"/>
        <v>-107290.85574968568</v>
      </c>
      <c r="I14" s="3">
        <f t="shared" si="5"/>
        <v>-109403.25873993347</v>
      </c>
      <c r="J14" s="3">
        <f t="shared" si="5"/>
        <v>-111598.51690111301</v>
      </c>
      <c r="K14" s="3">
        <f t="shared" si="5"/>
        <v>-113880.61363692081</v>
      </c>
      <c r="L14" s="3">
        <f t="shared" si="5"/>
        <v>-116253.73040575425</v>
      </c>
      <c r="M14" s="3">
        <f t="shared" si="5"/>
        <v>-118722.25661563827</v>
      </c>
      <c r="N14" s="8">
        <f t="shared" si="2"/>
        <v>-1280508.6248612842</v>
      </c>
    </row>
    <row r="15" spans="1:14">
      <c r="A15" t="s">
        <v>23</v>
      </c>
      <c r="B15" s="4">
        <f>SUM(B10:B14)</f>
        <v>24448000</v>
      </c>
      <c r="C15" s="5">
        <f>SUM(C10:C14)</f>
        <v>24899136</v>
      </c>
      <c r="D15" s="5">
        <f>SUM(D10:D14)</f>
        <v>25353429.952</v>
      </c>
      <c r="E15" s="5">
        <f>SUM(E10:E14)</f>
        <v>25824903.961663999</v>
      </c>
      <c r="F15" s="5">
        <f t="shared" ref="F15:M15" si="6">SUM(F10:F14)</f>
        <v>26314378.289395649</v>
      </c>
      <c r="G15" s="5">
        <f t="shared" si="6"/>
        <v>26822713.937421419</v>
      </c>
      <c r="H15" s="5">
        <f t="shared" si="6"/>
        <v>27350814.684983369</v>
      </c>
      <c r="I15" s="5">
        <f t="shared" si="6"/>
        <v>27899629.225278251</v>
      </c>
      <c r="J15" s="5">
        <f t="shared" si="6"/>
        <v>28470153.409230202</v>
      </c>
      <c r="K15" s="5">
        <f t="shared" si="6"/>
        <v>29063432.601438563</v>
      </c>
      <c r="L15" s="5">
        <f t="shared" si="6"/>
        <v>29680564.153909568</v>
      </c>
      <c r="M15" s="5">
        <f t="shared" si="6"/>
        <v>30322700.003460918</v>
      </c>
      <c r="N15" s="8">
        <f>SUM(B15:M15)</f>
        <v>326449856.21878195</v>
      </c>
    </row>
    <row r="16" spans="1:14">
      <c r="A16" t="s">
        <v>24</v>
      </c>
      <c r="B16" s="5">
        <f>B15/12</f>
        <v>2037333.3333333333</v>
      </c>
      <c r="C16" s="5">
        <f>C15/12</f>
        <v>2074928</v>
      </c>
      <c r="D16" s="5">
        <f>D15/12</f>
        <v>2112785.8293333333</v>
      </c>
      <c r="E16" s="5">
        <f>E15/12</f>
        <v>2152075.3301386666</v>
      </c>
      <c r="F16" s="5">
        <f t="shared" ref="F16:M16" si="7">F15/12</f>
        <v>2192864.8574496373</v>
      </c>
      <c r="G16" s="5">
        <f t="shared" si="7"/>
        <v>2235226.1614517849</v>
      </c>
      <c r="H16" s="5">
        <f t="shared" si="7"/>
        <v>2279234.5570819476</v>
      </c>
      <c r="I16" s="5">
        <f t="shared" si="7"/>
        <v>2324969.1021065209</v>
      </c>
      <c r="J16" s="5">
        <f t="shared" si="7"/>
        <v>2372512.7841025167</v>
      </c>
      <c r="K16" s="5">
        <f t="shared" si="7"/>
        <v>2421952.7167865471</v>
      </c>
      <c r="L16" s="5">
        <f t="shared" si="7"/>
        <v>2473380.3461591308</v>
      </c>
      <c r="M16" s="5">
        <f t="shared" si="7"/>
        <v>2526891.6669550766</v>
      </c>
      <c r="N16" s="8">
        <f>SUM(B16:M16)</f>
        <v>27204154.684898496</v>
      </c>
    </row>
    <row r="18" spans="1:14">
      <c r="A18" t="s">
        <v>25</v>
      </c>
      <c r="N18" s="8">
        <f>SUM(B16:M16)</f>
        <v>27204154.684898496</v>
      </c>
    </row>
    <row r="20" spans="1:14">
      <c r="B20" s="9">
        <f>1.09^(1/12)-1</f>
        <v>7.2073233161367156E-3</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9851A-AAE7-4103-9B59-0D9BE4177771}">
  <dimension ref="A1:T28"/>
  <sheetViews>
    <sheetView topLeftCell="A13" zoomScale="82" workbookViewId="0">
      <selection activeCell="H30" sqref="H30"/>
    </sheetView>
  </sheetViews>
  <sheetFormatPr defaultRowHeight="14.4"/>
  <cols>
    <col min="1" max="1" width="26.33203125" customWidth="1"/>
    <col min="2" max="2" width="12.5546875" customWidth="1"/>
    <col min="5" max="5" width="9" customWidth="1"/>
    <col min="10" max="10" width="8.88671875" customWidth="1"/>
    <col min="13" max="13" width="13" customWidth="1"/>
    <col min="14" max="14" width="8.88671875" customWidth="1"/>
    <col min="22" max="22" width="8.88671875" customWidth="1"/>
  </cols>
  <sheetData>
    <row r="1" spans="1:20" ht="21">
      <c r="A1" t="s">
        <v>18</v>
      </c>
      <c r="B1">
        <v>24000000</v>
      </c>
      <c r="E1" s="92" t="s">
        <v>45</v>
      </c>
      <c r="F1" s="93"/>
      <c r="G1" s="93"/>
      <c r="H1" s="93"/>
      <c r="I1" s="93"/>
      <c r="J1" s="93"/>
      <c r="K1" s="93"/>
      <c r="L1" s="93"/>
      <c r="M1" s="93"/>
      <c r="N1" s="93"/>
      <c r="O1" s="93"/>
      <c r="P1" s="93"/>
      <c r="Q1" s="93"/>
      <c r="R1" s="93"/>
      <c r="S1" s="93"/>
      <c r="T1" s="93"/>
    </row>
    <row r="2" spans="1:20">
      <c r="A2" t="s">
        <v>27</v>
      </c>
      <c r="B2">
        <v>1200</v>
      </c>
      <c r="F2" s="94">
        <f>B16</f>
        <v>1.087310661915508</v>
      </c>
      <c r="G2" s="95"/>
      <c r="H2" s="95"/>
      <c r="I2" s="10"/>
      <c r="J2" s="96">
        <f>B19</f>
        <v>19.071479457267863</v>
      </c>
      <c r="K2" s="96"/>
      <c r="L2" s="96"/>
      <c r="M2" s="10"/>
      <c r="N2" s="97">
        <f>B22</f>
        <v>4.8447204968944098</v>
      </c>
      <c r="O2" s="97"/>
      <c r="P2" s="97"/>
      <c r="Q2" s="10"/>
      <c r="R2" s="98">
        <f>B15</f>
        <v>0.81403338034980821</v>
      </c>
      <c r="S2" s="99"/>
      <c r="T2" s="99"/>
    </row>
    <row r="3" spans="1:20">
      <c r="A3" t="s">
        <v>28</v>
      </c>
      <c r="B3" s="1">
        <v>0.14000000000000001</v>
      </c>
      <c r="F3" s="95"/>
      <c r="G3" s="95"/>
      <c r="H3" s="95"/>
      <c r="I3" s="10"/>
      <c r="J3" s="96"/>
      <c r="K3" s="96"/>
      <c r="L3" s="96"/>
      <c r="M3" s="10"/>
      <c r="N3" s="97"/>
      <c r="O3" s="97"/>
      <c r="P3" s="97"/>
      <c r="Q3" s="10"/>
      <c r="R3" s="99"/>
      <c r="S3" s="99"/>
      <c r="T3" s="99"/>
    </row>
    <row r="4" spans="1:20">
      <c r="A4" t="s">
        <v>29</v>
      </c>
      <c r="B4" s="1">
        <v>0.78</v>
      </c>
      <c r="F4" s="95"/>
      <c r="G4" s="95"/>
      <c r="H4" s="95"/>
      <c r="I4" s="10"/>
      <c r="J4" s="96"/>
      <c r="K4" s="96"/>
      <c r="L4" s="96"/>
      <c r="M4" s="10"/>
      <c r="N4" s="97"/>
      <c r="O4" s="97"/>
      <c r="P4" s="97"/>
      <c r="Q4" s="10"/>
      <c r="R4" s="99"/>
      <c r="S4" s="99"/>
      <c r="T4" s="99"/>
    </row>
    <row r="5" spans="1:20">
      <c r="A5" t="s">
        <v>30</v>
      </c>
      <c r="B5">
        <f>SUM(Rev_Build!B11:M11)</f>
        <v>4081809.909953672</v>
      </c>
      <c r="E5" t="s">
        <v>50</v>
      </c>
      <c r="G5" s="11" t="s">
        <v>44</v>
      </c>
      <c r="H5" s="12"/>
      <c r="I5" s="12"/>
      <c r="J5" s="12"/>
      <c r="K5" s="12" t="s">
        <v>46</v>
      </c>
      <c r="L5" s="12"/>
      <c r="M5" s="12"/>
      <c r="N5" s="12"/>
      <c r="O5" s="12" t="s">
        <v>43</v>
      </c>
      <c r="P5" s="12"/>
      <c r="Q5" s="12"/>
      <c r="R5" s="12"/>
      <c r="S5" s="11" t="s">
        <v>47</v>
      </c>
    </row>
    <row r="6" spans="1:20">
      <c r="A6" t="s">
        <v>31</v>
      </c>
      <c r="B6">
        <v>220</v>
      </c>
      <c r="E6" t="s">
        <v>49</v>
      </c>
      <c r="G6" s="12" t="s">
        <v>48</v>
      </c>
      <c r="H6" s="12"/>
      <c r="I6" s="12"/>
      <c r="J6" s="12"/>
      <c r="K6" s="12" t="s">
        <v>51</v>
      </c>
      <c r="L6" s="12"/>
      <c r="M6" s="12"/>
      <c r="N6" s="12"/>
      <c r="O6" s="12" t="s">
        <v>52</v>
      </c>
      <c r="P6" s="12"/>
      <c r="Q6" s="12"/>
      <c r="R6" s="12"/>
      <c r="S6" s="12" t="s">
        <v>53</v>
      </c>
    </row>
    <row r="7" spans="1:20">
      <c r="A7" t="s">
        <v>32</v>
      </c>
      <c r="B7">
        <v>9200000</v>
      </c>
    </row>
    <row r="8" spans="1:20">
      <c r="A8" t="s">
        <v>33</v>
      </c>
      <c r="B8" s="2">
        <v>2.4E-2</v>
      </c>
    </row>
    <row r="9" spans="1:20">
      <c r="A9" t="s">
        <v>34</v>
      </c>
      <c r="B9" s="2">
        <v>1.2999999999999999E-2</v>
      </c>
      <c r="M9" s="13" t="s">
        <v>59</v>
      </c>
    </row>
    <row r="10" spans="1:20">
      <c r="A10" t="s">
        <v>35</v>
      </c>
      <c r="B10" s="2">
        <v>4.0000000000000001E-3</v>
      </c>
    </row>
    <row r="11" spans="1:20">
      <c r="A11" t="s">
        <v>60</v>
      </c>
      <c r="B11" s="1">
        <v>0.55000000000000004</v>
      </c>
    </row>
    <row r="15" spans="1:20">
      <c r="A15" t="s">
        <v>36</v>
      </c>
      <c r="B15" s="9">
        <f>(1-B9-B10)^12</f>
        <v>0.81403338034980821</v>
      </c>
    </row>
    <row r="16" spans="1:20">
      <c r="A16" t="s">
        <v>37</v>
      </c>
      <c r="B16" s="9">
        <f>(1+B8-B9-B10)^12</f>
        <v>1.087310661915508</v>
      </c>
    </row>
    <row r="17" spans="1:2">
      <c r="A17" t="s">
        <v>38</v>
      </c>
      <c r="B17">
        <f>(B7*$B$11)/B6</f>
        <v>23000</v>
      </c>
    </row>
    <row r="18" spans="1:2">
      <c r="A18" t="s">
        <v>39</v>
      </c>
      <c r="B18">
        <f>B5/B6</f>
        <v>18553.681408880326</v>
      </c>
    </row>
    <row r="19" spans="1:2">
      <c r="A19" t="s">
        <v>40</v>
      </c>
      <c r="B19">
        <f>B17/(B18*$B$4)*12</f>
        <v>19.071479457267863</v>
      </c>
    </row>
    <row r="20" spans="1:2">
      <c r="A20" t="s">
        <v>41</v>
      </c>
      <c r="B20">
        <f>B1/B2</f>
        <v>20000</v>
      </c>
    </row>
    <row r="21" spans="1:2">
      <c r="A21" t="s">
        <v>42</v>
      </c>
      <c r="B21">
        <f>(B20*$B$4)/$B$3</f>
        <v>111428.57142857142</v>
      </c>
    </row>
    <row r="22" spans="1:2">
      <c r="A22" t="s">
        <v>43</v>
      </c>
      <c r="B22">
        <f>B21/B17</f>
        <v>4.8447204968944098</v>
      </c>
    </row>
    <row r="25" spans="1:2">
      <c r="A25" t="s">
        <v>54</v>
      </c>
      <c r="B25" t="s">
        <v>55</v>
      </c>
    </row>
    <row r="26" spans="1:2">
      <c r="A26" t="s">
        <v>56</v>
      </c>
      <c r="B26">
        <v>15</v>
      </c>
    </row>
    <row r="27" spans="1:2">
      <c r="A27" t="s">
        <v>57</v>
      </c>
      <c r="B27">
        <v>19</v>
      </c>
    </row>
    <row r="28" spans="1:2">
      <c r="A28" t="s">
        <v>58</v>
      </c>
      <c r="B28">
        <v>34.700000000000003</v>
      </c>
    </row>
  </sheetData>
  <mergeCells count="5">
    <mergeCell ref="E1:T1"/>
    <mergeCell ref="F2:H4"/>
    <mergeCell ref="J2:L4"/>
    <mergeCell ref="N2:P4"/>
    <mergeCell ref="R2:T4"/>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3F39A-1D62-46EE-9572-1191FF3F1A19}">
  <dimension ref="A1:M39"/>
  <sheetViews>
    <sheetView topLeftCell="D26" zoomScale="80" workbookViewId="0">
      <selection activeCell="B16" sqref="B16"/>
    </sheetView>
  </sheetViews>
  <sheetFormatPr defaultRowHeight="14.4"/>
  <cols>
    <col min="1" max="1" width="37.21875" customWidth="1"/>
    <col min="2" max="2" width="17.109375" customWidth="1"/>
  </cols>
  <sheetData>
    <row r="1" spans="1:6">
      <c r="A1" t="s">
        <v>100</v>
      </c>
      <c r="B1">
        <v>700000</v>
      </c>
    </row>
    <row r="2" spans="1:6">
      <c r="A2" t="s">
        <v>101</v>
      </c>
      <c r="B2" s="1">
        <v>0.68</v>
      </c>
    </row>
    <row r="3" spans="1:6">
      <c r="A3" t="s">
        <v>102</v>
      </c>
      <c r="B3" s="1">
        <v>0.8</v>
      </c>
    </row>
    <row r="4" spans="1:6">
      <c r="A4" t="s">
        <v>103</v>
      </c>
      <c r="B4">
        <v>4081809.91</v>
      </c>
    </row>
    <row r="5" spans="1:6">
      <c r="A5" t="s">
        <v>104</v>
      </c>
      <c r="B5">
        <v>34.145833000000003</v>
      </c>
    </row>
    <row r="6" spans="1:6">
      <c r="A6" t="s">
        <v>106</v>
      </c>
      <c r="B6">
        <f>30</f>
        <v>30</v>
      </c>
    </row>
    <row r="7" spans="1:6">
      <c r="A7" t="s">
        <v>105</v>
      </c>
      <c r="B7">
        <f>ROUND(B6*B3,0)</f>
        <v>24</v>
      </c>
    </row>
    <row r="8" spans="1:6">
      <c r="A8" t="s">
        <v>107</v>
      </c>
      <c r="B8">
        <f>B1/12</f>
        <v>58333.333333333336</v>
      </c>
    </row>
    <row r="9" spans="1:6">
      <c r="A9" t="s">
        <v>108</v>
      </c>
      <c r="B9">
        <f>B7*B8*B2</f>
        <v>952000.00000000012</v>
      </c>
    </row>
    <row r="12" spans="1:6">
      <c r="A12" s="58" t="s">
        <v>109</v>
      </c>
    </row>
    <row r="13" spans="1:6">
      <c r="A13" t="s">
        <v>110</v>
      </c>
      <c r="B13">
        <v>1</v>
      </c>
      <c r="C13">
        <v>2</v>
      </c>
      <c r="D13">
        <v>3</v>
      </c>
      <c r="E13">
        <v>4</v>
      </c>
      <c r="F13" s="3" t="s">
        <v>111</v>
      </c>
    </row>
    <row r="14" spans="1:6">
      <c r="A14" t="s">
        <v>112</v>
      </c>
      <c r="B14" s="1">
        <v>0</v>
      </c>
      <c r="C14" s="1">
        <v>0</v>
      </c>
      <c r="D14" s="1">
        <v>0.5</v>
      </c>
      <c r="E14" s="1">
        <v>1</v>
      </c>
      <c r="F14" s="1">
        <v>1</v>
      </c>
    </row>
    <row r="16" spans="1:6">
      <c r="A16" s="58" t="s">
        <v>124</v>
      </c>
      <c r="B16" s="26">
        <f>2*$B$3*$B$8*$B$2</f>
        <v>63466.666666666679</v>
      </c>
    </row>
    <row r="17" spans="1:13">
      <c r="A17" t="s">
        <v>113</v>
      </c>
    </row>
    <row r="18" spans="1:13" ht="15.6">
      <c r="A18" t="s">
        <v>114</v>
      </c>
      <c r="B18" s="14" t="s">
        <v>6</v>
      </c>
      <c r="C18" s="14" t="s">
        <v>7</v>
      </c>
      <c r="D18" s="14" t="s">
        <v>8</v>
      </c>
      <c r="E18" s="14" t="s">
        <v>9</v>
      </c>
      <c r="F18" s="14" t="s">
        <v>10</v>
      </c>
      <c r="G18" s="14" t="s">
        <v>11</v>
      </c>
      <c r="H18" s="14" t="s">
        <v>12</v>
      </c>
      <c r="I18" s="14" t="s">
        <v>13</v>
      </c>
      <c r="J18" s="14" t="s">
        <v>14</v>
      </c>
      <c r="K18" s="14" t="s">
        <v>15</v>
      </c>
      <c r="L18" s="14" t="s">
        <v>16</v>
      </c>
      <c r="M18" s="14" t="s">
        <v>17</v>
      </c>
    </row>
    <row r="19" spans="1:13">
      <c r="A19" t="s">
        <v>115</v>
      </c>
      <c r="B19" s="1">
        <v>0</v>
      </c>
      <c r="C19" s="1">
        <v>0</v>
      </c>
      <c r="D19" s="1">
        <v>0</v>
      </c>
      <c r="E19" s="1">
        <v>0.5</v>
      </c>
      <c r="F19" s="1">
        <v>1</v>
      </c>
      <c r="G19" s="1">
        <v>1</v>
      </c>
      <c r="H19" s="1">
        <v>1</v>
      </c>
      <c r="I19" s="1">
        <v>1</v>
      </c>
      <c r="J19" s="1">
        <v>1</v>
      </c>
      <c r="K19" s="1">
        <v>1</v>
      </c>
      <c r="L19" s="1">
        <v>1</v>
      </c>
      <c r="M19" s="1">
        <v>1</v>
      </c>
    </row>
    <row r="20" spans="1:13">
      <c r="A20" t="s">
        <v>116</v>
      </c>
      <c r="B20" s="1">
        <v>0</v>
      </c>
      <c r="C20" s="1">
        <v>0</v>
      </c>
      <c r="D20" s="1">
        <v>0</v>
      </c>
      <c r="E20" s="1">
        <v>0</v>
      </c>
      <c r="F20" s="1">
        <v>0</v>
      </c>
      <c r="G20" s="1">
        <v>0</v>
      </c>
      <c r="H20" s="1">
        <v>0.5</v>
      </c>
      <c r="I20" s="1">
        <v>1</v>
      </c>
      <c r="J20" s="1">
        <v>1</v>
      </c>
      <c r="K20" s="1">
        <v>1</v>
      </c>
      <c r="L20" s="1">
        <v>1</v>
      </c>
      <c r="M20" s="1">
        <v>1</v>
      </c>
    </row>
    <row r="21" spans="1:13">
      <c r="A21" t="s">
        <v>117</v>
      </c>
      <c r="B21" s="1">
        <v>0</v>
      </c>
      <c r="C21" s="1">
        <v>0</v>
      </c>
      <c r="D21" s="1">
        <v>0</v>
      </c>
      <c r="E21" s="1">
        <v>0</v>
      </c>
      <c r="F21" s="1">
        <v>0</v>
      </c>
      <c r="G21" s="1">
        <v>0</v>
      </c>
      <c r="H21" s="1">
        <v>0</v>
      </c>
      <c r="I21" s="1">
        <v>0</v>
      </c>
      <c r="J21" s="1">
        <v>0</v>
      </c>
      <c r="K21" s="1">
        <v>0.5</v>
      </c>
      <c r="L21" s="1">
        <v>1</v>
      </c>
      <c r="M21" s="1">
        <v>1</v>
      </c>
    </row>
    <row r="22" spans="1:13">
      <c r="A22" t="s">
        <v>118</v>
      </c>
      <c r="B22" s="1">
        <v>0</v>
      </c>
      <c r="C22" s="1">
        <v>0</v>
      </c>
      <c r="D22" s="1">
        <v>0</v>
      </c>
      <c r="E22" s="1">
        <v>0</v>
      </c>
      <c r="F22" s="1">
        <v>0</v>
      </c>
      <c r="G22" s="1">
        <v>0</v>
      </c>
      <c r="H22" s="1">
        <v>0</v>
      </c>
      <c r="I22" s="1">
        <v>0</v>
      </c>
      <c r="J22" s="1">
        <v>0</v>
      </c>
      <c r="K22" s="1">
        <v>0</v>
      </c>
      <c r="L22" s="1">
        <v>0</v>
      </c>
      <c r="M22" s="1">
        <v>0.5</v>
      </c>
    </row>
    <row r="25" spans="1:13">
      <c r="A25" s="58" t="s">
        <v>119</v>
      </c>
    </row>
    <row r="26" spans="1:13" ht="15.6">
      <c r="B26" s="14" t="s">
        <v>6</v>
      </c>
      <c r="C26" s="14" t="s">
        <v>7</v>
      </c>
      <c r="D26" s="14" t="s">
        <v>8</v>
      </c>
      <c r="E26" s="14" t="s">
        <v>9</v>
      </c>
      <c r="F26" s="14" t="s">
        <v>10</v>
      </c>
      <c r="G26" s="14" t="s">
        <v>11</v>
      </c>
      <c r="H26" s="14" t="s">
        <v>12</v>
      </c>
      <c r="I26" s="14" t="s">
        <v>13</v>
      </c>
      <c r="J26" s="14" t="s">
        <v>14</v>
      </c>
      <c r="K26" s="14" t="s">
        <v>15</v>
      </c>
      <c r="L26" s="14" t="s">
        <v>16</v>
      </c>
      <c r="M26" s="14" t="s">
        <v>17</v>
      </c>
    </row>
    <row r="27" spans="1:13">
      <c r="A27" t="s">
        <v>120</v>
      </c>
      <c r="B27">
        <f>B19*$B$16</f>
        <v>0</v>
      </c>
      <c r="C27">
        <f>C19*$B$16</f>
        <v>0</v>
      </c>
      <c r="D27">
        <f>D19*$B$16</f>
        <v>0</v>
      </c>
      <c r="E27">
        <f t="shared" ref="E27:M27" si="0">E19*$B$16</f>
        <v>31733.333333333339</v>
      </c>
      <c r="F27">
        <f t="shared" si="0"/>
        <v>63466.666666666679</v>
      </c>
      <c r="G27">
        <f t="shared" si="0"/>
        <v>63466.666666666679</v>
      </c>
      <c r="H27">
        <f t="shared" si="0"/>
        <v>63466.666666666679</v>
      </c>
      <c r="I27">
        <f t="shared" si="0"/>
        <v>63466.666666666679</v>
      </c>
      <c r="J27">
        <f t="shared" si="0"/>
        <v>63466.666666666679</v>
      </c>
      <c r="K27">
        <f t="shared" si="0"/>
        <v>63466.666666666679</v>
      </c>
      <c r="L27">
        <f t="shared" si="0"/>
        <v>63466.666666666679</v>
      </c>
      <c r="M27">
        <f t="shared" si="0"/>
        <v>63466.666666666679</v>
      </c>
    </row>
    <row r="28" spans="1:13">
      <c r="A28" t="s">
        <v>121</v>
      </c>
      <c r="B28">
        <f>B20*$B$16</f>
        <v>0</v>
      </c>
      <c r="C28">
        <f t="shared" ref="C28:M28" si="1">C20*$B$16</f>
        <v>0</v>
      </c>
      <c r="D28">
        <f t="shared" si="1"/>
        <v>0</v>
      </c>
      <c r="E28">
        <f t="shared" si="1"/>
        <v>0</v>
      </c>
      <c r="F28">
        <f t="shared" si="1"/>
        <v>0</v>
      </c>
      <c r="G28">
        <f t="shared" si="1"/>
        <v>0</v>
      </c>
      <c r="H28">
        <f t="shared" si="1"/>
        <v>31733.333333333339</v>
      </c>
      <c r="I28">
        <f t="shared" si="1"/>
        <v>63466.666666666679</v>
      </c>
      <c r="J28">
        <f t="shared" si="1"/>
        <v>63466.666666666679</v>
      </c>
      <c r="K28">
        <f t="shared" si="1"/>
        <v>63466.666666666679</v>
      </c>
      <c r="L28">
        <f t="shared" si="1"/>
        <v>63466.666666666679</v>
      </c>
      <c r="M28">
        <f t="shared" si="1"/>
        <v>63466.666666666679</v>
      </c>
    </row>
    <row r="29" spans="1:13">
      <c r="A29" t="s">
        <v>122</v>
      </c>
      <c r="B29">
        <f>B21*$B$16</f>
        <v>0</v>
      </c>
      <c r="C29">
        <f t="shared" ref="C29:M29" si="2">C21*$B$16</f>
        <v>0</v>
      </c>
      <c r="D29">
        <f t="shared" si="2"/>
        <v>0</v>
      </c>
      <c r="E29">
        <f t="shared" si="2"/>
        <v>0</v>
      </c>
      <c r="F29">
        <f t="shared" si="2"/>
        <v>0</v>
      </c>
      <c r="G29">
        <f t="shared" si="2"/>
        <v>0</v>
      </c>
      <c r="H29">
        <f t="shared" si="2"/>
        <v>0</v>
      </c>
      <c r="I29">
        <f t="shared" si="2"/>
        <v>0</v>
      </c>
      <c r="J29">
        <f t="shared" si="2"/>
        <v>0</v>
      </c>
      <c r="K29">
        <f t="shared" si="2"/>
        <v>31733.333333333339</v>
      </c>
      <c r="L29">
        <f t="shared" si="2"/>
        <v>63466.666666666679</v>
      </c>
      <c r="M29">
        <f t="shared" si="2"/>
        <v>63466.666666666679</v>
      </c>
    </row>
    <row r="30" spans="1:13">
      <c r="A30" t="s">
        <v>123</v>
      </c>
      <c r="B30">
        <f>B22*$B$16</f>
        <v>0</v>
      </c>
      <c r="C30">
        <f t="shared" ref="C30:M30" si="3">C22*$B$16</f>
        <v>0</v>
      </c>
      <c r="D30">
        <f t="shared" si="3"/>
        <v>0</v>
      </c>
      <c r="E30">
        <f t="shared" si="3"/>
        <v>0</v>
      </c>
      <c r="F30">
        <f t="shared" si="3"/>
        <v>0</v>
      </c>
      <c r="G30">
        <f t="shared" si="3"/>
        <v>0</v>
      </c>
      <c r="H30">
        <f t="shared" si="3"/>
        <v>0</v>
      </c>
      <c r="I30">
        <f t="shared" si="3"/>
        <v>0</v>
      </c>
      <c r="J30">
        <f t="shared" si="3"/>
        <v>0</v>
      </c>
      <c r="K30">
        <f t="shared" si="3"/>
        <v>0</v>
      </c>
      <c r="L30">
        <f t="shared" si="3"/>
        <v>0</v>
      </c>
      <c r="M30">
        <f t="shared" si="3"/>
        <v>31733.333333333339</v>
      </c>
    </row>
    <row r="32" spans="1:13">
      <c r="A32" t="s">
        <v>125</v>
      </c>
      <c r="B32" s="19">
        <f>SUM(B27:B30)</f>
        <v>0</v>
      </c>
      <c r="C32" s="19">
        <f t="shared" ref="C32:M32" si="4">SUM(C27:C30)</f>
        <v>0</v>
      </c>
      <c r="D32" s="19">
        <f t="shared" si="4"/>
        <v>0</v>
      </c>
      <c r="E32" s="19">
        <f t="shared" si="4"/>
        <v>31733.333333333339</v>
      </c>
      <c r="F32" s="19">
        <f t="shared" si="4"/>
        <v>63466.666666666679</v>
      </c>
      <c r="G32" s="19">
        <f t="shared" si="4"/>
        <v>63466.666666666679</v>
      </c>
      <c r="H32" s="19">
        <f t="shared" si="4"/>
        <v>95200.000000000015</v>
      </c>
      <c r="I32" s="19">
        <f t="shared" si="4"/>
        <v>126933.33333333336</v>
      </c>
      <c r="J32" s="19">
        <f t="shared" si="4"/>
        <v>126933.33333333336</v>
      </c>
      <c r="K32" s="19">
        <f t="shared" si="4"/>
        <v>158666.66666666669</v>
      </c>
      <c r="L32" s="19">
        <f t="shared" si="4"/>
        <v>190400.00000000003</v>
      </c>
      <c r="M32" s="19">
        <f t="shared" si="4"/>
        <v>222133.33333333337</v>
      </c>
    </row>
    <row r="33" spans="1:13">
      <c r="A33" t="s">
        <v>126</v>
      </c>
      <c r="B33">
        <f>$B$9</f>
        <v>952000.00000000012</v>
      </c>
      <c r="C33">
        <f t="shared" ref="C33:M33" si="5">$B$9</f>
        <v>952000.00000000012</v>
      </c>
      <c r="D33">
        <f t="shared" si="5"/>
        <v>952000.00000000012</v>
      </c>
      <c r="E33">
        <f t="shared" si="5"/>
        <v>952000.00000000012</v>
      </c>
      <c r="F33">
        <f t="shared" si="5"/>
        <v>952000.00000000012</v>
      </c>
      <c r="G33">
        <f t="shared" si="5"/>
        <v>952000.00000000012</v>
      </c>
      <c r="H33">
        <f t="shared" si="5"/>
        <v>952000.00000000012</v>
      </c>
      <c r="I33">
        <f t="shared" si="5"/>
        <v>952000.00000000012</v>
      </c>
      <c r="J33">
        <f t="shared" si="5"/>
        <v>952000.00000000012</v>
      </c>
      <c r="K33">
        <f t="shared" si="5"/>
        <v>952000.00000000012</v>
      </c>
      <c r="L33">
        <f t="shared" si="5"/>
        <v>952000.00000000012</v>
      </c>
      <c r="M33">
        <f t="shared" si="5"/>
        <v>952000.00000000012</v>
      </c>
    </row>
    <row r="34" spans="1:13">
      <c r="A34" t="s">
        <v>127</v>
      </c>
      <c r="B34">
        <f>B32+B33</f>
        <v>952000.00000000012</v>
      </c>
      <c r="C34">
        <f t="shared" ref="C34:M34" si="6">C32+C33</f>
        <v>952000.00000000012</v>
      </c>
      <c r="D34">
        <f t="shared" si="6"/>
        <v>952000.00000000012</v>
      </c>
      <c r="E34">
        <f t="shared" si="6"/>
        <v>983733.33333333349</v>
      </c>
      <c r="F34">
        <f t="shared" si="6"/>
        <v>1015466.6666666667</v>
      </c>
      <c r="G34">
        <f t="shared" si="6"/>
        <v>1015466.6666666667</v>
      </c>
      <c r="H34">
        <f t="shared" si="6"/>
        <v>1047200.0000000001</v>
      </c>
      <c r="I34">
        <f t="shared" si="6"/>
        <v>1078933.3333333335</v>
      </c>
      <c r="J34">
        <f t="shared" si="6"/>
        <v>1078933.3333333335</v>
      </c>
      <c r="K34">
        <f t="shared" si="6"/>
        <v>1110666.6666666667</v>
      </c>
      <c r="L34">
        <f t="shared" si="6"/>
        <v>1142400.0000000002</v>
      </c>
      <c r="M34">
        <f t="shared" si="6"/>
        <v>1174133.3333333335</v>
      </c>
    </row>
    <row r="35" spans="1:13">
      <c r="B35" s="18"/>
    </row>
    <row r="36" spans="1:13">
      <c r="A36" t="s">
        <v>128</v>
      </c>
      <c r="B36">
        <f>SUM(B34:M34)</f>
        <v>12502933.333333336</v>
      </c>
    </row>
    <row r="37" spans="1:13">
      <c r="A37" t="s">
        <v>129</v>
      </c>
      <c r="B37" s="20">
        <f>B36/$B$4</f>
        <v>3.0630856431365112</v>
      </c>
    </row>
    <row r="39" spans="1:13" ht="187.2">
      <c r="A39" s="21" t="s">
        <v>130</v>
      </c>
    </row>
  </sheetData>
  <phoneticPr fontId="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512F8-73EA-44C2-A0FE-1FD49686ABB2}">
  <dimension ref="A1:P82"/>
  <sheetViews>
    <sheetView topLeftCell="A13" zoomScale="70" zoomScaleNormal="64" workbookViewId="0">
      <selection activeCell="P57" sqref="P57"/>
    </sheetView>
  </sheetViews>
  <sheetFormatPr defaultRowHeight="14.4"/>
  <cols>
    <col min="1" max="1" width="26.5546875" customWidth="1"/>
    <col min="2" max="2" width="15.88671875" customWidth="1"/>
    <col min="5" max="5" width="11.6640625" customWidth="1"/>
    <col min="6" max="8" width="8.88671875" customWidth="1"/>
    <col min="15" max="15" width="15.88671875" customWidth="1"/>
    <col min="16" max="16" width="23.6640625" customWidth="1"/>
  </cols>
  <sheetData>
    <row r="1" spans="1:16">
      <c r="A1" t="s">
        <v>77</v>
      </c>
      <c r="B1" t="s">
        <v>78</v>
      </c>
      <c r="C1" t="s">
        <v>79</v>
      </c>
      <c r="D1" t="s">
        <v>80</v>
      </c>
      <c r="O1" t="s">
        <v>258</v>
      </c>
      <c r="P1">
        <f>CHOOSE(Scenarios!$F$2,Scenarios!$B$7,Scenarios!$C$7,Scenarios!$D$7)</f>
        <v>1</v>
      </c>
    </row>
    <row r="2" spans="1:16">
      <c r="A2" t="s">
        <v>81</v>
      </c>
      <c r="B2">
        <v>30</v>
      </c>
      <c r="C2">
        <v>380000</v>
      </c>
      <c r="D2" s="1">
        <v>0.35</v>
      </c>
    </row>
    <row r="3" spans="1:16">
      <c r="A3" t="s">
        <v>82</v>
      </c>
      <c r="B3" s="15">
        <v>18</v>
      </c>
      <c r="C3">
        <v>320000</v>
      </c>
      <c r="D3" s="1">
        <v>0.3</v>
      </c>
    </row>
    <row r="4" spans="1:16">
      <c r="A4" t="s">
        <v>83</v>
      </c>
      <c r="B4" s="15">
        <v>45</v>
      </c>
      <c r="C4">
        <v>480000</v>
      </c>
      <c r="D4" s="1">
        <v>0.3</v>
      </c>
    </row>
    <row r="5" spans="1:16">
      <c r="A5" t="s">
        <v>84</v>
      </c>
      <c r="B5">
        <v>22</v>
      </c>
      <c r="C5">
        <v>300000</v>
      </c>
      <c r="D5" s="1">
        <v>0.3</v>
      </c>
    </row>
    <row r="6" spans="1:16">
      <c r="A6" t="s">
        <v>85</v>
      </c>
      <c r="B6">
        <v>25</v>
      </c>
      <c r="C6">
        <v>350000</v>
      </c>
      <c r="D6" s="1">
        <v>0.3</v>
      </c>
    </row>
    <row r="12" spans="1:16" ht="15.6">
      <c r="A12" s="16" t="s">
        <v>81</v>
      </c>
      <c r="B12" s="14" t="s">
        <v>61</v>
      </c>
      <c r="C12" s="14" t="s">
        <v>62</v>
      </c>
      <c r="D12" s="14" t="s">
        <v>63</v>
      </c>
      <c r="E12" s="14" t="s">
        <v>64</v>
      </c>
      <c r="F12" s="14" t="s">
        <v>65</v>
      </c>
      <c r="G12" s="14" t="s">
        <v>66</v>
      </c>
      <c r="H12" s="14" t="s">
        <v>67</v>
      </c>
      <c r="I12" s="14" t="s">
        <v>68</v>
      </c>
      <c r="J12" s="14" t="s">
        <v>69</v>
      </c>
      <c r="K12" s="14" t="s">
        <v>70</v>
      </c>
      <c r="L12" s="14" t="s">
        <v>71</v>
      </c>
      <c r="M12" s="14" t="s">
        <v>72</v>
      </c>
    </row>
    <row r="13" spans="1:16">
      <c r="A13" t="s">
        <v>73</v>
      </c>
      <c r="B13">
        <f>$B$2</f>
        <v>30</v>
      </c>
      <c r="C13">
        <f>B16</f>
        <v>29.7</v>
      </c>
      <c r="D13">
        <f t="shared" ref="D13:M13" si="0">C16</f>
        <v>31.402999999999999</v>
      </c>
      <c r="E13">
        <f t="shared" si="0"/>
        <v>31.08897</v>
      </c>
      <c r="F13">
        <f t="shared" si="0"/>
        <v>30.778080299999999</v>
      </c>
      <c r="G13">
        <f t="shared" si="0"/>
        <v>32.470299496999999</v>
      </c>
      <c r="H13">
        <f t="shared" si="0"/>
        <v>32.145596502030003</v>
      </c>
      <c r="I13">
        <f t="shared" si="0"/>
        <v>31.824140537009704</v>
      </c>
      <c r="J13">
        <f t="shared" si="0"/>
        <v>33.505899131639609</v>
      </c>
      <c r="K13">
        <f t="shared" si="0"/>
        <v>33.170840140323214</v>
      </c>
      <c r="L13">
        <f t="shared" si="0"/>
        <v>34.839131738919981</v>
      </c>
      <c r="M13">
        <f t="shared" si="0"/>
        <v>34.490740421530781</v>
      </c>
    </row>
    <row r="14" spans="1:16">
      <c r="A14" t="s">
        <v>74</v>
      </c>
      <c r="B14">
        <f>0</f>
        <v>0</v>
      </c>
      <c r="C14">
        <f>ROUNDDOWN(2*$P$1,0)</f>
        <v>2</v>
      </c>
      <c r="D14">
        <f>0</f>
        <v>0</v>
      </c>
      <c r="E14">
        <f>0</f>
        <v>0</v>
      </c>
      <c r="F14">
        <f>ROUNDDOWN(2*$P$1,0)</f>
        <v>2</v>
      </c>
      <c r="G14">
        <f>0</f>
        <v>0</v>
      </c>
      <c r="H14">
        <f>0</f>
        <v>0</v>
      </c>
      <c r="I14">
        <f>ROUNDDOWN(2*$P$1,0)</f>
        <v>2</v>
      </c>
      <c r="J14">
        <f>0</f>
        <v>0</v>
      </c>
      <c r="K14">
        <f>ROUNDDOWN(2*$P$1,0)</f>
        <v>2</v>
      </c>
      <c r="L14">
        <f>0</f>
        <v>0</v>
      </c>
      <c r="M14">
        <f>0</f>
        <v>0</v>
      </c>
    </row>
    <row r="15" spans="1:16">
      <c r="A15" t="s">
        <v>75</v>
      </c>
      <c r="B15">
        <f>-B13*1%</f>
        <v>-0.3</v>
      </c>
      <c r="C15">
        <f>-C13*1%</f>
        <v>-0.29699999999999999</v>
      </c>
      <c r="D15">
        <f t="shared" ref="D15:M15" si="1">-D13*1%</f>
        <v>-0.31402999999999998</v>
      </c>
      <c r="E15">
        <f t="shared" si="1"/>
        <v>-0.31088969999999999</v>
      </c>
      <c r="F15">
        <f t="shared" si="1"/>
        <v>-0.30778080299999999</v>
      </c>
      <c r="G15">
        <f t="shared" si="1"/>
        <v>-0.32470299496999999</v>
      </c>
      <c r="H15">
        <f t="shared" si="1"/>
        <v>-0.32145596502030005</v>
      </c>
      <c r="I15">
        <f t="shared" si="1"/>
        <v>-0.31824140537009704</v>
      </c>
      <c r="J15">
        <f t="shared" si="1"/>
        <v>-0.3350589913163961</v>
      </c>
      <c r="K15">
        <f t="shared" si="1"/>
        <v>-0.33170840140323216</v>
      </c>
      <c r="L15">
        <f t="shared" si="1"/>
        <v>-0.34839131738919982</v>
      </c>
      <c r="M15">
        <f t="shared" si="1"/>
        <v>-0.3449074042153078</v>
      </c>
    </row>
    <row r="16" spans="1:16">
      <c r="A16" t="s">
        <v>76</v>
      </c>
      <c r="B16">
        <f>B13+B14+B15</f>
        <v>29.7</v>
      </c>
      <c r="C16">
        <f>C13+C14+C15</f>
        <v>31.402999999999999</v>
      </c>
      <c r="D16">
        <f t="shared" ref="D16:M16" si="2">D13+D14+D15</f>
        <v>31.08897</v>
      </c>
      <c r="E16">
        <f t="shared" si="2"/>
        <v>30.778080299999999</v>
      </c>
      <c r="F16">
        <f t="shared" si="2"/>
        <v>32.470299496999999</v>
      </c>
      <c r="G16">
        <f t="shared" si="2"/>
        <v>32.145596502030003</v>
      </c>
      <c r="H16">
        <f t="shared" si="2"/>
        <v>31.824140537009704</v>
      </c>
      <c r="I16">
        <f t="shared" si="2"/>
        <v>33.505899131639609</v>
      </c>
      <c r="J16">
        <f t="shared" si="2"/>
        <v>33.170840140323214</v>
      </c>
      <c r="K16">
        <f t="shared" si="2"/>
        <v>34.839131738919981</v>
      </c>
      <c r="L16">
        <f t="shared" si="2"/>
        <v>34.490740421530781</v>
      </c>
      <c r="M16">
        <f t="shared" si="2"/>
        <v>34.145833017315475</v>
      </c>
    </row>
    <row r="19" spans="1:13">
      <c r="A19" s="16" t="s">
        <v>86</v>
      </c>
    </row>
    <row r="20" spans="1:13">
      <c r="A20" t="s">
        <v>73</v>
      </c>
      <c r="B20" s="15">
        <f>$B$3</f>
        <v>18</v>
      </c>
      <c r="C20">
        <f>B23</f>
        <v>17.82</v>
      </c>
      <c r="D20">
        <f t="shared" ref="D20:M20" si="3">C23</f>
        <v>17.6418</v>
      </c>
      <c r="E20">
        <f t="shared" si="3"/>
        <v>18.465381999999998</v>
      </c>
      <c r="F20">
        <f t="shared" si="3"/>
        <v>18.280728179999997</v>
      </c>
      <c r="G20">
        <f t="shared" si="3"/>
        <v>18.097920898199998</v>
      </c>
      <c r="H20">
        <f t="shared" si="3"/>
        <v>18.916941689218</v>
      </c>
      <c r="I20">
        <f t="shared" si="3"/>
        <v>18.727772272325819</v>
      </c>
      <c r="J20">
        <f t="shared" si="3"/>
        <v>18.54049454960256</v>
      </c>
      <c r="K20">
        <f t="shared" si="3"/>
        <v>19.355089604106535</v>
      </c>
      <c r="L20">
        <f t="shared" si="3"/>
        <v>19.161538708065471</v>
      </c>
      <c r="M20">
        <f t="shared" si="3"/>
        <v>18.969923320984815</v>
      </c>
    </row>
    <row r="21" spans="1:13">
      <c r="A21" t="s">
        <v>74</v>
      </c>
      <c r="B21">
        <f>0</f>
        <v>0</v>
      </c>
      <c r="C21">
        <f>0</f>
        <v>0</v>
      </c>
      <c r="D21">
        <f>ROUNDDOWN(1*$P$1,0)</f>
        <v>1</v>
      </c>
      <c r="E21">
        <f>0</f>
        <v>0</v>
      </c>
      <c r="F21">
        <f>0</f>
        <v>0</v>
      </c>
      <c r="G21">
        <f>ROUNDDOWN(1*$P$1,0)</f>
        <v>1</v>
      </c>
      <c r="H21">
        <f>0</f>
        <v>0</v>
      </c>
      <c r="I21">
        <f>0</f>
        <v>0</v>
      </c>
      <c r="J21">
        <f>ROUNDDOWN(1*$P$1,0)</f>
        <v>1</v>
      </c>
      <c r="K21">
        <v>0</v>
      </c>
      <c r="L21">
        <f>0</f>
        <v>0</v>
      </c>
      <c r="M21">
        <f>0</f>
        <v>0</v>
      </c>
    </row>
    <row r="22" spans="1:13">
      <c r="A22" t="s">
        <v>75</v>
      </c>
      <c r="B22">
        <f>-B20*1%</f>
        <v>-0.18</v>
      </c>
      <c r="C22">
        <f>-C20*1%</f>
        <v>-0.1782</v>
      </c>
      <c r="D22">
        <f t="shared" ref="D22:M22" si="4">-D20*1%</f>
        <v>-0.17641799999999999</v>
      </c>
      <c r="E22">
        <f t="shared" si="4"/>
        <v>-0.18465382</v>
      </c>
      <c r="F22">
        <f t="shared" si="4"/>
        <v>-0.18280728179999997</v>
      </c>
      <c r="G22">
        <f t="shared" si="4"/>
        <v>-0.18097920898199998</v>
      </c>
      <c r="H22">
        <f t="shared" si="4"/>
        <v>-0.18916941689218</v>
      </c>
      <c r="I22">
        <f t="shared" si="4"/>
        <v>-0.18727772272325818</v>
      </c>
      <c r="J22">
        <f t="shared" si="4"/>
        <v>-0.1854049454960256</v>
      </c>
      <c r="K22">
        <f t="shared" si="4"/>
        <v>-0.19355089604106535</v>
      </c>
      <c r="L22">
        <f t="shared" si="4"/>
        <v>-0.19161538708065473</v>
      </c>
      <c r="M22">
        <f t="shared" si="4"/>
        <v>-0.18969923320984816</v>
      </c>
    </row>
    <row r="23" spans="1:13">
      <c r="A23" t="s">
        <v>76</v>
      </c>
      <c r="B23" s="15">
        <f>B20+B21+B22</f>
        <v>17.82</v>
      </c>
      <c r="C23">
        <f>C20+C21+C22</f>
        <v>17.6418</v>
      </c>
      <c r="D23">
        <f t="shared" ref="D23" si="5">D20+D21+D22</f>
        <v>18.465381999999998</v>
      </c>
      <c r="E23">
        <f t="shared" ref="E23" si="6">E20+E21+E22</f>
        <v>18.280728179999997</v>
      </c>
      <c r="F23">
        <f t="shared" ref="F23" si="7">F20+F21+F22</f>
        <v>18.097920898199998</v>
      </c>
      <c r="G23">
        <f t="shared" ref="G23" si="8">G20+G21+G22</f>
        <v>18.916941689218</v>
      </c>
      <c r="H23">
        <f t="shared" ref="H23" si="9">H20+H21+H22</f>
        <v>18.727772272325819</v>
      </c>
      <c r="I23">
        <f t="shared" ref="I23" si="10">I20+I21+I22</f>
        <v>18.54049454960256</v>
      </c>
      <c r="J23">
        <f t="shared" ref="J23" si="11">J20+J21+J22</f>
        <v>19.355089604106535</v>
      </c>
      <c r="K23">
        <f t="shared" ref="K23" si="12">K20+K21+K22</f>
        <v>19.161538708065471</v>
      </c>
      <c r="L23">
        <f t="shared" ref="L23" si="13">L20+L21+L22</f>
        <v>18.969923320984815</v>
      </c>
      <c r="M23">
        <f t="shared" ref="M23" si="14">M20+M21+M22</f>
        <v>18.780224087774968</v>
      </c>
    </row>
    <row r="26" spans="1:13">
      <c r="A26" s="16" t="s">
        <v>83</v>
      </c>
    </row>
    <row r="27" spans="1:13">
      <c r="A27" t="s">
        <v>73</v>
      </c>
      <c r="B27" s="15">
        <f>$B$4</f>
        <v>45</v>
      </c>
      <c r="C27">
        <f>B30</f>
        <v>44.55</v>
      </c>
      <c r="D27">
        <f t="shared" ref="D27:M27" si="15">C30</f>
        <v>45.104499999999994</v>
      </c>
      <c r="E27">
        <f t="shared" si="15"/>
        <v>45.653454999999994</v>
      </c>
      <c r="F27">
        <f t="shared" si="15"/>
        <v>46.196920449999993</v>
      </c>
      <c r="G27">
        <f t="shared" si="15"/>
        <v>46.734951245499992</v>
      </c>
      <c r="H27">
        <f t="shared" si="15"/>
        <v>47.267601733044991</v>
      </c>
      <c r="I27">
        <f t="shared" si="15"/>
        <v>47.794925715714541</v>
      </c>
      <c r="J27">
        <f t="shared" si="15"/>
        <v>48.316976458557399</v>
      </c>
      <c r="K27">
        <f t="shared" si="15"/>
        <v>48.833806693971823</v>
      </c>
      <c r="L27">
        <f t="shared" si="15"/>
        <v>49.345468627032105</v>
      </c>
      <c r="M27">
        <f t="shared" si="15"/>
        <v>49.852013940761786</v>
      </c>
    </row>
    <row r="28" spans="1:13">
      <c r="A28" t="s">
        <v>74</v>
      </c>
      <c r="B28">
        <f>0</f>
        <v>0</v>
      </c>
      <c r="C28">
        <f>ROUNDDOWN(1*$P$1,0)</f>
        <v>1</v>
      </c>
      <c r="D28">
        <f>ROUNDDOWN(1*$P$1,0)</f>
        <v>1</v>
      </c>
      <c r="E28">
        <f>ROUNDDOWN(1*$P$1,0)</f>
        <v>1</v>
      </c>
      <c r="F28">
        <f>ROUNDDOWN(1*$P$1,0)</f>
        <v>1</v>
      </c>
      <c r="G28">
        <f>ROUNDDOWN(1*$P$1,0)</f>
        <v>1</v>
      </c>
      <c r="H28">
        <f t="shared" ref="H28:L28" si="16">ROUNDDOWN(1*$P$1,0)</f>
        <v>1</v>
      </c>
      <c r="I28">
        <f t="shared" si="16"/>
        <v>1</v>
      </c>
      <c r="J28">
        <f t="shared" si="16"/>
        <v>1</v>
      </c>
      <c r="K28">
        <f t="shared" si="16"/>
        <v>1</v>
      </c>
      <c r="L28">
        <f t="shared" si="16"/>
        <v>1</v>
      </c>
      <c r="M28">
        <v>0</v>
      </c>
    </row>
    <row r="29" spans="1:13">
      <c r="A29" t="s">
        <v>75</v>
      </c>
      <c r="B29">
        <f>-B27*1%</f>
        <v>-0.45</v>
      </c>
      <c r="C29">
        <f>-C27*1%</f>
        <v>-0.44550000000000001</v>
      </c>
      <c r="D29">
        <f t="shared" ref="D29:M29" si="17">-D27*1%</f>
        <v>-0.45104499999999997</v>
      </c>
      <c r="E29">
        <f t="shared" si="17"/>
        <v>-0.45653454999999993</v>
      </c>
      <c r="F29">
        <f t="shared" si="17"/>
        <v>-0.46196920449999995</v>
      </c>
      <c r="G29">
        <f t="shared" si="17"/>
        <v>-0.46734951245499995</v>
      </c>
      <c r="H29">
        <f t="shared" si="17"/>
        <v>-0.47267601733044989</v>
      </c>
      <c r="I29">
        <f t="shared" si="17"/>
        <v>-0.47794925715714542</v>
      </c>
      <c r="J29">
        <f t="shared" si="17"/>
        <v>-0.48316976458557398</v>
      </c>
      <c r="K29">
        <f t="shared" si="17"/>
        <v>-0.48833806693971826</v>
      </c>
      <c r="L29">
        <f t="shared" si="17"/>
        <v>-0.49345468627032107</v>
      </c>
      <c r="M29">
        <f t="shared" si="17"/>
        <v>-0.49852013940761786</v>
      </c>
    </row>
    <row r="30" spans="1:13">
      <c r="A30" t="s">
        <v>76</v>
      </c>
      <c r="B30">
        <f>B27+B28+B29</f>
        <v>44.55</v>
      </c>
      <c r="C30">
        <f>C27+C28+C29</f>
        <v>45.104499999999994</v>
      </c>
      <c r="D30">
        <f t="shared" ref="D30" si="18">D27+D28+D29</f>
        <v>45.653454999999994</v>
      </c>
      <c r="E30">
        <f t="shared" ref="E30" si="19">E27+E28+E29</f>
        <v>46.196920449999993</v>
      </c>
      <c r="F30">
        <f t="shared" ref="F30" si="20">F27+F28+F29</f>
        <v>46.734951245499992</v>
      </c>
      <c r="G30">
        <f t="shared" ref="G30" si="21">G27+G28+G29</f>
        <v>47.267601733044991</v>
      </c>
      <c r="H30">
        <f t="shared" ref="H30" si="22">H27+H28+H29</f>
        <v>47.794925715714541</v>
      </c>
      <c r="I30">
        <f t="shared" ref="I30" si="23">I27+I28+I29</f>
        <v>48.316976458557399</v>
      </c>
      <c r="J30">
        <f t="shared" ref="J30" si="24">J27+J28+J29</f>
        <v>48.833806693971823</v>
      </c>
      <c r="K30">
        <f t="shared" ref="K30" si="25">K27+K28+K29</f>
        <v>49.345468627032105</v>
      </c>
      <c r="L30">
        <f t="shared" ref="L30" si="26">L27+L28+L29</f>
        <v>49.852013940761786</v>
      </c>
      <c r="M30">
        <f t="shared" ref="M30" si="27">M27+M28+M29</f>
        <v>49.353493801354169</v>
      </c>
    </row>
    <row r="33" spans="1:13">
      <c r="A33" s="16" t="s">
        <v>84</v>
      </c>
    </row>
    <row r="34" spans="1:13">
      <c r="A34" t="s">
        <v>73</v>
      </c>
      <c r="B34" s="15">
        <f>$B$5</f>
        <v>22</v>
      </c>
      <c r="C34">
        <f>B37</f>
        <v>21.78</v>
      </c>
      <c r="D34">
        <f t="shared" ref="D34:M34" si="28">C37</f>
        <v>21.562200000000001</v>
      </c>
      <c r="E34">
        <f t="shared" si="28"/>
        <v>23.346578000000001</v>
      </c>
      <c r="F34">
        <f t="shared" si="28"/>
        <v>23.113112220000001</v>
      </c>
      <c r="G34">
        <f t="shared" si="28"/>
        <v>22.881981097800001</v>
      </c>
      <c r="H34">
        <f t="shared" si="28"/>
        <v>24.653161286822002</v>
      </c>
      <c r="I34">
        <f t="shared" si="28"/>
        <v>24.40662967395378</v>
      </c>
      <c r="J34">
        <f t="shared" si="28"/>
        <v>24.162563377214244</v>
      </c>
      <c r="K34">
        <f t="shared" si="28"/>
        <v>25.920937743442103</v>
      </c>
      <c r="L34">
        <f t="shared" si="28"/>
        <v>25.661728366007683</v>
      </c>
      <c r="M34">
        <f t="shared" si="28"/>
        <v>25.405111082347606</v>
      </c>
    </row>
    <row r="35" spans="1:13">
      <c r="A35" t="s">
        <v>74</v>
      </c>
      <c r="B35">
        <f>0</f>
        <v>0</v>
      </c>
      <c r="C35">
        <f>0</f>
        <v>0</v>
      </c>
      <c r="D35">
        <f>ROUNDDOWN(2*$P$1,0)</f>
        <v>2</v>
      </c>
      <c r="E35">
        <f>0</f>
        <v>0</v>
      </c>
      <c r="F35">
        <f>0</f>
        <v>0</v>
      </c>
      <c r="G35">
        <f>ROUNDDOWN(2*$P$1,0)</f>
        <v>2</v>
      </c>
      <c r="H35">
        <f>0</f>
        <v>0</v>
      </c>
      <c r="I35">
        <f>0</f>
        <v>0</v>
      </c>
      <c r="J35">
        <f>ROUNDDOWN(2*$P$1,0)</f>
        <v>2</v>
      </c>
      <c r="K35">
        <f>0</f>
        <v>0</v>
      </c>
      <c r="L35">
        <f>0</f>
        <v>0</v>
      </c>
      <c r="M35">
        <f>0</f>
        <v>0</v>
      </c>
    </row>
    <row r="36" spans="1:13">
      <c r="A36" t="s">
        <v>75</v>
      </c>
      <c r="B36">
        <f>-B34*1%</f>
        <v>-0.22</v>
      </c>
      <c r="C36">
        <f>-C34*1%</f>
        <v>-0.21780000000000002</v>
      </c>
      <c r="D36">
        <f t="shared" ref="D36:M36" si="29">-D34*1%</f>
        <v>-0.21562200000000001</v>
      </c>
      <c r="E36">
        <f t="shared" si="29"/>
        <v>-0.23346578000000001</v>
      </c>
      <c r="F36">
        <f t="shared" si="29"/>
        <v>-0.23113112220000001</v>
      </c>
      <c r="G36">
        <f t="shared" si="29"/>
        <v>-0.228819810978</v>
      </c>
      <c r="H36">
        <f t="shared" si="29"/>
        <v>-0.24653161286822003</v>
      </c>
      <c r="I36">
        <f t="shared" si="29"/>
        <v>-0.24406629673953781</v>
      </c>
      <c r="J36">
        <f t="shared" si="29"/>
        <v>-0.24162563377214244</v>
      </c>
      <c r="K36">
        <f t="shared" si="29"/>
        <v>-0.25920937743442102</v>
      </c>
      <c r="L36">
        <f t="shared" si="29"/>
        <v>-0.25661728366007686</v>
      </c>
      <c r="M36">
        <f t="shared" si="29"/>
        <v>-0.25405111082347609</v>
      </c>
    </row>
    <row r="37" spans="1:13">
      <c r="A37" t="s">
        <v>76</v>
      </c>
      <c r="B37">
        <f>B34+B35+B36</f>
        <v>21.78</v>
      </c>
      <c r="C37">
        <f>C34+C35+C36</f>
        <v>21.562200000000001</v>
      </c>
      <c r="D37">
        <f t="shared" ref="D37" si="30">D34+D35+D36</f>
        <v>23.346578000000001</v>
      </c>
      <c r="E37">
        <f t="shared" ref="E37" si="31">E34+E35+E36</f>
        <v>23.113112220000001</v>
      </c>
      <c r="F37">
        <f t="shared" ref="F37" si="32">F34+F35+F36</f>
        <v>22.881981097800001</v>
      </c>
      <c r="G37">
        <f t="shared" ref="G37" si="33">G34+G35+G36</f>
        <v>24.653161286822002</v>
      </c>
      <c r="H37">
        <f t="shared" ref="H37" si="34">H34+H35+H36</f>
        <v>24.40662967395378</v>
      </c>
      <c r="I37">
        <f t="shared" ref="I37" si="35">I34+I35+I36</f>
        <v>24.162563377214244</v>
      </c>
      <c r="J37">
        <f t="shared" ref="J37" si="36">J34+J35+J36</f>
        <v>25.920937743442103</v>
      </c>
      <c r="K37">
        <f t="shared" ref="K37" si="37">K34+K35+K36</f>
        <v>25.661728366007683</v>
      </c>
      <c r="L37">
        <f t="shared" ref="L37" si="38">L34+L35+L36</f>
        <v>25.405111082347606</v>
      </c>
      <c r="M37">
        <f t="shared" ref="M37" si="39">M34+M35+M36</f>
        <v>25.151059971524131</v>
      </c>
    </row>
    <row r="40" spans="1:13">
      <c r="A40" s="16" t="s">
        <v>85</v>
      </c>
    </row>
    <row r="41" spans="1:13">
      <c r="A41" t="s">
        <v>73</v>
      </c>
      <c r="B41" s="15">
        <f>$B$6</f>
        <v>25</v>
      </c>
      <c r="C41">
        <f>B44</f>
        <v>24.75</v>
      </c>
      <c r="D41">
        <f t="shared" ref="D41:M41" si="40">C44</f>
        <v>24.502500000000001</v>
      </c>
      <c r="E41">
        <f t="shared" si="40"/>
        <v>24.257475000000003</v>
      </c>
      <c r="F41">
        <f t="shared" si="40"/>
        <v>25.014900250000004</v>
      </c>
      <c r="G41">
        <f t="shared" si="40"/>
        <v>24.764751247500005</v>
      </c>
      <c r="H41">
        <f t="shared" si="40"/>
        <v>24.517103735025003</v>
      </c>
      <c r="I41">
        <f t="shared" si="40"/>
        <v>24.271932697674753</v>
      </c>
      <c r="J41">
        <f t="shared" si="40"/>
        <v>24.029213370698006</v>
      </c>
      <c r="K41">
        <f t="shared" si="40"/>
        <v>24.788921236991026</v>
      </c>
      <c r="L41">
        <f t="shared" si="40"/>
        <v>24.541032024621117</v>
      </c>
      <c r="M41">
        <f t="shared" si="40"/>
        <v>24.295621704374906</v>
      </c>
    </row>
    <row r="42" spans="1:13">
      <c r="A42" t="s">
        <v>74</v>
      </c>
      <c r="B42">
        <f>0</f>
        <v>0</v>
      </c>
      <c r="C42">
        <f>0</f>
        <v>0</v>
      </c>
      <c r="D42">
        <f>0</f>
        <v>0</v>
      </c>
      <c r="E42">
        <f>ROUNDDOWN(1*$P$1,0)</f>
        <v>1</v>
      </c>
      <c r="F42">
        <f>0</f>
        <v>0</v>
      </c>
      <c r="G42">
        <f>0</f>
        <v>0</v>
      </c>
      <c r="H42">
        <f>0</f>
        <v>0</v>
      </c>
      <c r="I42">
        <f>0</f>
        <v>0</v>
      </c>
      <c r="J42">
        <f>ROUNDDOWN(1*$P$1,0)</f>
        <v>1</v>
      </c>
      <c r="K42">
        <f>0</f>
        <v>0</v>
      </c>
      <c r="L42">
        <f>0</f>
        <v>0</v>
      </c>
      <c r="M42">
        <f>0</f>
        <v>0</v>
      </c>
    </row>
    <row r="43" spans="1:13">
      <c r="A43" t="s">
        <v>75</v>
      </c>
      <c r="B43">
        <f>-B41*1%</f>
        <v>-0.25</v>
      </c>
      <c r="C43">
        <f>-C41*1%</f>
        <v>-0.2475</v>
      </c>
      <c r="D43">
        <f t="shared" ref="D43:M43" si="41">-D41*1%</f>
        <v>-0.24502500000000002</v>
      </c>
      <c r="E43">
        <f t="shared" si="41"/>
        <v>-0.24257475000000003</v>
      </c>
      <c r="F43">
        <f t="shared" si="41"/>
        <v>-0.25014900250000005</v>
      </c>
      <c r="G43">
        <f t="shared" si="41"/>
        <v>-0.24764751247500005</v>
      </c>
      <c r="H43">
        <f t="shared" si="41"/>
        <v>-0.24517103735025003</v>
      </c>
      <c r="I43">
        <f t="shared" si="41"/>
        <v>-0.24271932697674753</v>
      </c>
      <c r="J43">
        <f t="shared" si="41"/>
        <v>-0.24029213370698008</v>
      </c>
      <c r="K43">
        <f t="shared" si="41"/>
        <v>-0.24788921236991027</v>
      </c>
      <c r="L43">
        <f t="shared" si="41"/>
        <v>-0.24541032024621118</v>
      </c>
      <c r="M43">
        <f t="shared" si="41"/>
        <v>-0.24295621704374906</v>
      </c>
    </row>
    <row r="44" spans="1:13">
      <c r="A44" t="s">
        <v>76</v>
      </c>
      <c r="B44">
        <f>B41+B42+B43</f>
        <v>24.75</v>
      </c>
      <c r="C44">
        <f>C41+C42+C43</f>
        <v>24.502500000000001</v>
      </c>
      <c r="D44">
        <f t="shared" ref="D44" si="42">D41+D42+D43</f>
        <v>24.257475000000003</v>
      </c>
      <c r="E44">
        <f t="shared" ref="E44" si="43">E41+E42+E43</f>
        <v>25.014900250000004</v>
      </c>
      <c r="F44">
        <f t="shared" ref="F44" si="44">F41+F42+F43</f>
        <v>24.764751247500005</v>
      </c>
      <c r="G44">
        <f t="shared" ref="G44" si="45">G41+G42+G43</f>
        <v>24.517103735025003</v>
      </c>
      <c r="H44">
        <f t="shared" ref="H44" si="46">H41+H42+H43</f>
        <v>24.271932697674753</v>
      </c>
      <c r="I44">
        <f t="shared" ref="I44" si="47">I41+I42+I43</f>
        <v>24.029213370698006</v>
      </c>
      <c r="J44">
        <f t="shared" ref="J44" si="48">J41+J42+J43</f>
        <v>24.788921236991026</v>
      </c>
      <c r="K44">
        <f t="shared" ref="K44" si="49">K41+K42+K43</f>
        <v>24.541032024621117</v>
      </c>
      <c r="L44">
        <f t="shared" ref="L44" si="50">L41+L42+L43</f>
        <v>24.295621704374906</v>
      </c>
      <c r="M44">
        <f t="shared" ref="M44" si="51">M41+M42+M43</f>
        <v>24.052665487331158</v>
      </c>
    </row>
    <row r="47" spans="1:13">
      <c r="A47" s="16" t="s">
        <v>87</v>
      </c>
    </row>
    <row r="48" spans="1:13">
      <c r="A48" t="s">
        <v>76</v>
      </c>
      <c r="B48" s="15">
        <f>B16+B23+B30+B37+B44</f>
        <v>138.6</v>
      </c>
      <c r="C48" s="15">
        <f t="shared" ref="C48:M48" si="52">C16+C23+C30+C37+C44</f>
        <v>140.214</v>
      </c>
      <c r="D48" s="15">
        <f t="shared" si="52"/>
        <v>142.81186</v>
      </c>
      <c r="E48" s="15">
        <f t="shared" si="52"/>
        <v>143.38374139999999</v>
      </c>
      <c r="F48" s="15">
        <f t="shared" si="52"/>
        <v>144.94990398600001</v>
      </c>
      <c r="G48" s="15">
        <f t="shared" si="52"/>
        <v>147.50040494614001</v>
      </c>
      <c r="H48" s="15">
        <f t="shared" si="52"/>
        <v>147.02540089667858</v>
      </c>
      <c r="I48" s="15">
        <f t="shared" si="52"/>
        <v>148.55514688771183</v>
      </c>
      <c r="J48" s="15">
        <f t="shared" si="52"/>
        <v>152.06959541883469</v>
      </c>
      <c r="K48" s="15">
        <f t="shared" si="52"/>
        <v>153.54889946464635</v>
      </c>
      <c r="L48" s="15">
        <f t="shared" si="52"/>
        <v>153.01341046999988</v>
      </c>
      <c r="M48" s="15">
        <f t="shared" si="52"/>
        <v>151.4832763652999</v>
      </c>
    </row>
    <row r="51" spans="1:13">
      <c r="A51" s="16" t="s">
        <v>88</v>
      </c>
    </row>
    <row r="52" spans="1:13">
      <c r="A52" t="s">
        <v>89</v>
      </c>
      <c r="B52" s="15">
        <f>B16*$C$2*(1+$D$2)/12</f>
        <v>1269675.0000000002</v>
      </c>
      <c r="C52">
        <f t="shared" ref="C52:M52" si="53">C16*$C$2*(1+$D$2)/12</f>
        <v>1342478.2500000002</v>
      </c>
      <c r="D52">
        <f t="shared" si="53"/>
        <v>1329053.4675</v>
      </c>
      <c r="E52">
        <f t="shared" si="53"/>
        <v>1315762.9328250003</v>
      </c>
      <c r="F52">
        <f t="shared" si="53"/>
        <v>1388105.3034967501</v>
      </c>
      <c r="G52">
        <f t="shared" si="53"/>
        <v>1374224.2504617828</v>
      </c>
      <c r="H52">
        <f t="shared" si="53"/>
        <v>1360482.0079571649</v>
      </c>
      <c r="I52">
        <f t="shared" si="53"/>
        <v>1432377.1878775936</v>
      </c>
      <c r="J52">
        <f t="shared" si="53"/>
        <v>1418053.4159988174</v>
      </c>
      <c r="K52">
        <f t="shared" si="53"/>
        <v>1489372.8818388293</v>
      </c>
      <c r="L52">
        <f t="shared" si="53"/>
        <v>1474479.1530204408</v>
      </c>
      <c r="M52">
        <f t="shared" si="53"/>
        <v>1459734.3614902366</v>
      </c>
    </row>
    <row r="53" spans="1:13">
      <c r="A53" t="s">
        <v>90</v>
      </c>
      <c r="B53">
        <f>B23*$C$3*(1+$D$3)/12</f>
        <v>617760</v>
      </c>
      <c r="C53">
        <f t="shared" ref="C53:M53" si="54">C23*$C$3*(1+$D$3)/12</f>
        <v>611582.4</v>
      </c>
      <c r="D53">
        <f t="shared" si="54"/>
        <v>640133.24266666663</v>
      </c>
      <c r="E53">
        <f t="shared" si="54"/>
        <v>633731.91023999988</v>
      </c>
      <c r="F53">
        <f t="shared" si="54"/>
        <v>627394.59113760001</v>
      </c>
      <c r="G53">
        <f t="shared" si="54"/>
        <v>655787.3118928906</v>
      </c>
      <c r="H53">
        <f t="shared" si="54"/>
        <v>649229.43877396174</v>
      </c>
      <c r="I53">
        <f t="shared" si="54"/>
        <v>642737.14438622212</v>
      </c>
      <c r="J53">
        <f t="shared" si="54"/>
        <v>670976.43960902654</v>
      </c>
      <c r="K53">
        <f t="shared" si="54"/>
        <v>664266.67521293636</v>
      </c>
      <c r="L53">
        <f t="shared" si="54"/>
        <v>657624.00846080692</v>
      </c>
      <c r="M53">
        <f t="shared" si="54"/>
        <v>651047.76837619895</v>
      </c>
    </row>
    <row r="54" spans="1:13">
      <c r="A54" t="s">
        <v>91</v>
      </c>
      <c r="B54">
        <f>B30*$C$4*(1+$D$4)/12</f>
        <v>2316600</v>
      </c>
      <c r="C54">
        <f t="shared" ref="C54:M54" si="55">C30*$C$4*(1+$D$4)/12</f>
        <v>2345433.9999999995</v>
      </c>
      <c r="D54">
        <f t="shared" si="55"/>
        <v>2373979.6599999997</v>
      </c>
      <c r="E54">
        <f t="shared" si="55"/>
        <v>2402239.8633999997</v>
      </c>
      <c r="F54">
        <f t="shared" si="55"/>
        <v>2430217.4647659999</v>
      </c>
      <c r="G54">
        <f t="shared" si="55"/>
        <v>2457915.2901183399</v>
      </c>
      <c r="H54">
        <f t="shared" si="55"/>
        <v>2485336.1372171561</v>
      </c>
      <c r="I54">
        <f t="shared" si="55"/>
        <v>2512482.7758449852</v>
      </c>
      <c r="J54">
        <f t="shared" si="55"/>
        <v>2539357.9480865351</v>
      </c>
      <c r="K54">
        <f t="shared" si="55"/>
        <v>2565964.3686056691</v>
      </c>
      <c r="L54">
        <f t="shared" si="55"/>
        <v>2592304.724919613</v>
      </c>
      <c r="M54">
        <f t="shared" si="55"/>
        <v>2566381.6776704169</v>
      </c>
    </row>
    <row r="55" spans="1:13">
      <c r="A55" t="s">
        <v>92</v>
      </c>
      <c r="B55">
        <f>B37*$C5*(1+$D5)/12</f>
        <v>707850</v>
      </c>
      <c r="C55">
        <f t="shared" ref="C55:M55" si="56">C37*$C$5*(1+$D$5)/12</f>
        <v>700771.5</v>
      </c>
      <c r="D55">
        <f t="shared" si="56"/>
        <v>758763.78500000003</v>
      </c>
      <c r="E55">
        <f t="shared" si="56"/>
        <v>751176.14715000009</v>
      </c>
      <c r="F55">
        <f t="shared" si="56"/>
        <v>743664.38567850005</v>
      </c>
      <c r="G55">
        <f t="shared" si="56"/>
        <v>801227.74182171514</v>
      </c>
      <c r="H55">
        <f t="shared" si="56"/>
        <v>793215.46440349787</v>
      </c>
      <c r="I55">
        <f t="shared" si="56"/>
        <v>785283.30975946307</v>
      </c>
      <c r="J55">
        <f t="shared" si="56"/>
        <v>842430.47666186839</v>
      </c>
      <c r="K55">
        <f t="shared" si="56"/>
        <v>834006.17189524975</v>
      </c>
      <c r="L55">
        <f t="shared" si="56"/>
        <v>825666.11017629725</v>
      </c>
      <c r="M55">
        <f t="shared" si="56"/>
        <v>817409.44907453423</v>
      </c>
    </row>
    <row r="56" spans="1:13">
      <c r="A56" t="s">
        <v>93</v>
      </c>
      <c r="B56">
        <f>B44*$C$6*(1+$D$6)/12</f>
        <v>938437.5</v>
      </c>
      <c r="C56">
        <f t="shared" ref="C56:M56" si="57">C44*$C$6*(1+$D$6)/12</f>
        <v>929053.125</v>
      </c>
      <c r="D56">
        <f t="shared" si="57"/>
        <v>919762.59375000035</v>
      </c>
      <c r="E56">
        <f t="shared" si="57"/>
        <v>948481.63447916682</v>
      </c>
      <c r="F56">
        <f t="shared" si="57"/>
        <v>938996.81813437527</v>
      </c>
      <c r="G56">
        <f t="shared" si="57"/>
        <v>929606.84995303152</v>
      </c>
      <c r="H56">
        <f t="shared" si="57"/>
        <v>920310.78145350108</v>
      </c>
      <c r="I56">
        <f t="shared" si="57"/>
        <v>911107.67363896605</v>
      </c>
      <c r="J56">
        <f t="shared" si="57"/>
        <v>939913.26356924314</v>
      </c>
      <c r="K56">
        <f t="shared" si="57"/>
        <v>930514.13093355077</v>
      </c>
      <c r="L56">
        <f t="shared" si="57"/>
        <v>921208.98962421517</v>
      </c>
      <c r="M56">
        <f t="shared" si="57"/>
        <v>911996.89972797316</v>
      </c>
    </row>
    <row r="58" spans="1:13">
      <c r="A58" t="s">
        <v>94</v>
      </c>
      <c r="B58">
        <f>SUM(B52:B56)</f>
        <v>5850322.5</v>
      </c>
      <c r="C58">
        <f t="shared" ref="C58:M58" si="58">SUM(C52:C56)</f>
        <v>5929319.2750000004</v>
      </c>
      <c r="D58">
        <f t="shared" si="58"/>
        <v>6021692.748916667</v>
      </c>
      <c r="E58">
        <f t="shared" si="58"/>
        <v>6051392.4880941678</v>
      </c>
      <c r="F58">
        <f t="shared" si="58"/>
        <v>6128378.5632132255</v>
      </c>
      <c r="G58">
        <f t="shared" si="58"/>
        <v>6218761.4442477599</v>
      </c>
      <c r="H58">
        <f t="shared" si="58"/>
        <v>6208573.8298052819</v>
      </c>
      <c r="I58">
        <f t="shared" si="58"/>
        <v>6283988.09150723</v>
      </c>
      <c r="J58">
        <f t="shared" si="58"/>
        <v>6410731.5439254902</v>
      </c>
      <c r="K58">
        <f t="shared" si="58"/>
        <v>6484124.2284862353</v>
      </c>
      <c r="L58">
        <f t="shared" si="58"/>
        <v>6471282.9862013729</v>
      </c>
      <c r="M58">
        <f t="shared" si="58"/>
        <v>6406570.1563393595</v>
      </c>
    </row>
    <row r="60" spans="1:13">
      <c r="A60" s="60" t="s">
        <v>95</v>
      </c>
      <c r="B60" s="58">
        <f>SUM(B58:M58)</f>
        <v>74465137.855736792</v>
      </c>
    </row>
    <row r="61" spans="1:13">
      <c r="A61" s="60"/>
      <c r="B61" s="58"/>
    </row>
    <row r="62" spans="1:13">
      <c r="A62" s="60" t="s">
        <v>96</v>
      </c>
      <c r="B62" s="58">
        <v>3.67</v>
      </c>
    </row>
    <row r="63" spans="1:13">
      <c r="A63" s="60" t="s">
        <v>97</v>
      </c>
      <c r="B63" s="58">
        <f>B60/B62</f>
        <v>20290228.298565883</v>
      </c>
    </row>
    <row r="64" spans="1:13">
      <c r="A64" s="60" t="s">
        <v>98</v>
      </c>
      <c r="B64" s="58">
        <v>27200000</v>
      </c>
    </row>
    <row r="65" spans="1:13">
      <c r="A65" s="60" t="s">
        <v>99</v>
      </c>
      <c r="B65" s="59">
        <f>B63/B64</f>
        <v>0.74596427568256929</v>
      </c>
    </row>
    <row r="67" spans="1:13">
      <c r="A67" s="26" t="s">
        <v>154</v>
      </c>
      <c r="B67" t="s">
        <v>6</v>
      </c>
      <c r="C67" t="s">
        <v>7</v>
      </c>
      <c r="D67" t="s">
        <v>8</v>
      </c>
      <c r="E67" t="s">
        <v>9</v>
      </c>
      <c r="F67" t="s">
        <v>10</v>
      </c>
      <c r="G67" t="s">
        <v>11</v>
      </c>
      <c r="H67" t="s">
        <v>12</v>
      </c>
      <c r="I67" t="s">
        <v>13</v>
      </c>
      <c r="J67" t="s">
        <v>14</v>
      </c>
      <c r="K67" t="s">
        <v>15</v>
      </c>
      <c r="L67" t="s">
        <v>16</v>
      </c>
      <c r="M67" t="s">
        <v>17</v>
      </c>
    </row>
    <row r="68" spans="1:13">
      <c r="A68" t="s">
        <v>155</v>
      </c>
      <c r="B68">
        <f>B52/$B$62</f>
        <v>345960.49046321533</v>
      </c>
      <c r="C68">
        <f t="shared" ref="C68:M68" si="59">C52/$B$62</f>
        <v>365797.88828337879</v>
      </c>
      <c r="D68">
        <f t="shared" si="59"/>
        <v>362139.909400545</v>
      </c>
      <c r="E68">
        <f t="shared" si="59"/>
        <v>358518.5103065396</v>
      </c>
      <c r="F68">
        <f t="shared" si="59"/>
        <v>378230.32792826981</v>
      </c>
      <c r="G68">
        <f t="shared" si="59"/>
        <v>374448.02464898716</v>
      </c>
      <c r="H68">
        <f t="shared" si="59"/>
        <v>370703.54440249724</v>
      </c>
      <c r="I68">
        <f t="shared" si="59"/>
        <v>390293.51168326801</v>
      </c>
      <c r="J68">
        <f t="shared" si="59"/>
        <v>386390.57656643528</v>
      </c>
      <c r="K68">
        <f t="shared" si="59"/>
        <v>405823.67352556658</v>
      </c>
      <c r="L68">
        <f t="shared" si="59"/>
        <v>401765.43679031084</v>
      </c>
      <c r="M68">
        <f t="shared" si="59"/>
        <v>397747.78242240782</v>
      </c>
    </row>
    <row r="69" spans="1:13">
      <c r="A69" t="s">
        <v>156</v>
      </c>
      <c r="B69">
        <f>B53/$B$62</f>
        <v>168326.97547683923</v>
      </c>
      <c r="C69">
        <f t="shared" ref="C69:M69" si="60">C53/$B$62</f>
        <v>166643.70572207085</v>
      </c>
      <c r="D69">
        <f t="shared" si="60"/>
        <v>174423.2268846503</v>
      </c>
      <c r="E69">
        <f t="shared" si="60"/>
        <v>172678.99461580379</v>
      </c>
      <c r="F69">
        <f t="shared" si="60"/>
        <v>170952.20466964578</v>
      </c>
      <c r="G69">
        <f t="shared" si="60"/>
        <v>178688.64084274948</v>
      </c>
      <c r="H69">
        <f t="shared" si="60"/>
        <v>176901.75443432201</v>
      </c>
      <c r="I69">
        <f t="shared" si="60"/>
        <v>175132.73688997878</v>
      </c>
      <c r="J69">
        <f t="shared" si="60"/>
        <v>182827.36774087916</v>
      </c>
      <c r="K69">
        <f t="shared" si="60"/>
        <v>180999.0940634704</v>
      </c>
      <c r="L69">
        <f t="shared" si="60"/>
        <v>179189.10312283569</v>
      </c>
      <c r="M69">
        <f t="shared" si="60"/>
        <v>177397.21209160733</v>
      </c>
    </row>
    <row r="70" spans="1:13">
      <c r="A70" t="s">
        <v>157</v>
      </c>
      <c r="B70">
        <f>B54/$B$62</f>
        <v>631226.15803814714</v>
      </c>
      <c r="C70">
        <f t="shared" ref="C70:M70" si="61">C54/$B$62</f>
        <v>639082.83378746582</v>
      </c>
      <c r="D70">
        <f t="shared" si="61"/>
        <v>646860.94277929142</v>
      </c>
      <c r="E70">
        <f t="shared" si="61"/>
        <v>654561.2706811988</v>
      </c>
      <c r="F70">
        <f t="shared" si="61"/>
        <v>662184.59530408715</v>
      </c>
      <c r="G70">
        <f t="shared" si="61"/>
        <v>669731.68668074661</v>
      </c>
      <c r="H70">
        <f t="shared" si="61"/>
        <v>677203.30714363931</v>
      </c>
      <c r="I70">
        <f t="shared" si="61"/>
        <v>684600.2114019033</v>
      </c>
      <c r="J70">
        <f t="shared" si="61"/>
        <v>691923.14661758451</v>
      </c>
      <c r="K70">
        <f t="shared" si="61"/>
        <v>699172.85248110874</v>
      </c>
      <c r="L70">
        <f t="shared" si="61"/>
        <v>706350.06128599809</v>
      </c>
      <c r="M70">
        <f t="shared" si="61"/>
        <v>699286.56067313813</v>
      </c>
    </row>
    <row r="71" spans="1:13">
      <c r="A71" t="s">
        <v>158</v>
      </c>
      <c r="B71">
        <f>B55/$B$62</f>
        <v>192874.65940054497</v>
      </c>
      <c r="C71">
        <f t="shared" ref="C71:M71" si="62">C55/$B$62</f>
        <v>190945.91280653951</v>
      </c>
      <c r="D71">
        <f t="shared" si="62"/>
        <v>206747.62534059948</v>
      </c>
      <c r="E71">
        <f t="shared" si="62"/>
        <v>204680.14908719348</v>
      </c>
      <c r="F71">
        <f t="shared" si="62"/>
        <v>202633.34759632155</v>
      </c>
      <c r="G71">
        <f t="shared" si="62"/>
        <v>218318.18578248369</v>
      </c>
      <c r="H71">
        <f t="shared" si="62"/>
        <v>216135.00392465881</v>
      </c>
      <c r="I71">
        <f t="shared" si="62"/>
        <v>213973.65388541229</v>
      </c>
      <c r="J71">
        <f t="shared" si="62"/>
        <v>229545.08900868348</v>
      </c>
      <c r="K71">
        <f t="shared" si="62"/>
        <v>227249.63811859666</v>
      </c>
      <c r="L71">
        <f t="shared" si="62"/>
        <v>224977.14173741071</v>
      </c>
      <c r="M71">
        <f t="shared" si="62"/>
        <v>222727.37032003657</v>
      </c>
    </row>
    <row r="72" spans="1:13">
      <c r="A72" t="s">
        <v>159</v>
      </c>
      <c r="B72">
        <f>B56/$B$62</f>
        <v>255705.04087193462</v>
      </c>
      <c r="C72">
        <f t="shared" ref="C72:M72" si="63">C56/$B$62</f>
        <v>253147.99046321528</v>
      </c>
      <c r="D72">
        <f t="shared" si="63"/>
        <v>250616.51055858322</v>
      </c>
      <c r="E72">
        <f t="shared" si="63"/>
        <v>258441.86225590378</v>
      </c>
      <c r="F72">
        <f t="shared" si="63"/>
        <v>255857.44363334475</v>
      </c>
      <c r="G72">
        <f t="shared" si="63"/>
        <v>253298.86919701131</v>
      </c>
      <c r="H72">
        <f t="shared" si="63"/>
        <v>250765.88050504116</v>
      </c>
      <c r="I72">
        <f t="shared" si="63"/>
        <v>248258.22169999077</v>
      </c>
      <c r="J72">
        <f t="shared" si="63"/>
        <v>256107.1562858973</v>
      </c>
      <c r="K72">
        <f t="shared" si="63"/>
        <v>253546.08472303837</v>
      </c>
      <c r="L72">
        <f t="shared" si="63"/>
        <v>251010.62387580794</v>
      </c>
      <c r="M72">
        <f t="shared" si="63"/>
        <v>248500.51763704992</v>
      </c>
    </row>
    <row r="73" spans="1:13">
      <c r="A73" t="s">
        <v>160</v>
      </c>
      <c r="B73">
        <f>SUM(B68:B72)</f>
        <v>1594093.3242506813</v>
      </c>
      <c r="C73">
        <f t="shared" ref="C73:M73" si="64">SUM(C68:C72)</f>
        <v>1615618.3310626703</v>
      </c>
      <c r="D73">
        <f t="shared" si="64"/>
        <v>1640788.2149636697</v>
      </c>
      <c r="E73">
        <f t="shared" si="64"/>
        <v>1648880.7869466394</v>
      </c>
      <c r="F73">
        <f t="shared" si="64"/>
        <v>1669857.919131669</v>
      </c>
      <c r="G73">
        <f t="shared" si="64"/>
        <v>1694485.4071519782</v>
      </c>
      <c r="H73">
        <f t="shared" si="64"/>
        <v>1691709.4904101586</v>
      </c>
      <c r="I73">
        <f t="shared" si="64"/>
        <v>1712258.335560553</v>
      </c>
      <c r="J73">
        <f t="shared" si="64"/>
        <v>1746793.33621948</v>
      </c>
      <c r="K73">
        <f t="shared" si="64"/>
        <v>1766791.3429117808</v>
      </c>
      <c r="L73">
        <f t="shared" si="64"/>
        <v>1763292.3668123633</v>
      </c>
      <c r="M73">
        <f t="shared" si="64"/>
        <v>1745659.4431442397</v>
      </c>
    </row>
    <row r="75" spans="1:13">
      <c r="A75" s="26" t="s">
        <v>166</v>
      </c>
    </row>
    <row r="76" spans="1:13">
      <c r="A76" s="29" t="s">
        <v>77</v>
      </c>
      <c r="B76" s="29" t="s">
        <v>165</v>
      </c>
    </row>
    <row r="77" spans="1:13">
      <c r="A77" s="28" t="s">
        <v>81</v>
      </c>
      <c r="B77" s="28">
        <f t="shared" ref="B77:B82" si="65">SUM(B68:M68)</f>
        <v>4537819.6764214216</v>
      </c>
    </row>
    <row r="78" spans="1:13">
      <c r="A78" s="28" t="s">
        <v>82</v>
      </c>
      <c r="B78" s="28">
        <f t="shared" si="65"/>
        <v>2104161.0165548529</v>
      </c>
    </row>
    <row r="79" spans="1:13">
      <c r="A79" s="28" t="s">
        <v>83</v>
      </c>
      <c r="B79" s="28">
        <f t="shared" si="65"/>
        <v>8062183.626874309</v>
      </c>
    </row>
    <row r="80" spans="1:13">
      <c r="A80" s="28" t="s">
        <v>84</v>
      </c>
      <c r="B80" s="28">
        <f t="shared" si="65"/>
        <v>2550807.7770084813</v>
      </c>
    </row>
    <row r="81" spans="1:2">
      <c r="A81" s="28" t="s">
        <v>85</v>
      </c>
      <c r="B81" s="28">
        <f t="shared" si="65"/>
        <v>3035256.2017068183</v>
      </c>
    </row>
    <row r="82" spans="1:2">
      <c r="A82" s="28" t="s">
        <v>26</v>
      </c>
      <c r="B82" s="28">
        <f t="shared" si="65"/>
        <v>20290228.298565883</v>
      </c>
    </row>
  </sheetData>
  <phoneticPr fontId="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99395-B330-43F5-B0F8-5C27B665CB67}">
  <dimension ref="A1:G12"/>
  <sheetViews>
    <sheetView workbookViewId="0">
      <selection activeCell="D20" sqref="D20"/>
    </sheetView>
  </sheetViews>
  <sheetFormatPr defaultRowHeight="14.4"/>
  <cols>
    <col min="1" max="1" width="23.44140625" customWidth="1"/>
    <col min="2" max="2" width="20.21875" customWidth="1"/>
    <col min="3" max="3" width="18.77734375" customWidth="1"/>
    <col min="4" max="4" width="13" customWidth="1"/>
    <col min="5" max="5" width="14.109375" customWidth="1"/>
    <col min="6" max="6" width="16.44140625" customWidth="1"/>
    <col min="7" max="7" width="8.88671875" customWidth="1"/>
  </cols>
  <sheetData>
    <row r="1" spans="1:7" ht="15.6">
      <c r="A1" s="56" t="s">
        <v>77</v>
      </c>
      <c r="B1" s="56" t="s">
        <v>161</v>
      </c>
      <c r="C1" s="56" t="s">
        <v>162</v>
      </c>
      <c r="D1" s="56" t="s">
        <v>163</v>
      </c>
      <c r="E1" s="56" t="s">
        <v>76</v>
      </c>
      <c r="F1" s="56" t="s">
        <v>164</v>
      </c>
    </row>
    <row r="2" spans="1:7">
      <c r="A2" t="s">
        <v>81</v>
      </c>
      <c r="B2">
        <f>Headcount_Plan!B77</f>
        <v>4537819.6764214216</v>
      </c>
      <c r="C2">
        <f>600000*70%</f>
        <v>420000</v>
      </c>
      <c r="D2">
        <f>B2+C2</f>
        <v>4957819.6764214216</v>
      </c>
      <c r="E2">
        <f>Headcount_Plan!M16</f>
        <v>34.145833017315475</v>
      </c>
      <c r="F2">
        <f>D2/E2</f>
        <v>145195.45251414113</v>
      </c>
      <c r="G2" s="27">
        <f>D2/OpEx_Budget!$N$28</f>
        <v>0.1669848957227755</v>
      </c>
    </row>
    <row r="3" spans="1:7">
      <c r="A3" t="s">
        <v>82</v>
      </c>
      <c r="B3" s="30">
        <f>Headcount_Plan!B78</f>
        <v>2104161.0165548529</v>
      </c>
      <c r="C3">
        <f>3200000+(1400000*25%)</f>
        <v>3550000</v>
      </c>
      <c r="D3">
        <f t="shared" ref="D3:D6" si="0">B3+C3</f>
        <v>5654161.0165548529</v>
      </c>
      <c r="E3">
        <f>Headcount_Plan!M23</f>
        <v>18.780224087774968</v>
      </c>
      <c r="F3">
        <f t="shared" ref="F3:F5" si="1">D3/E3</f>
        <v>301069.94411400246</v>
      </c>
      <c r="G3" s="27">
        <f>D3/OpEx_Budget!$N$28</f>
        <v>0.19043844862681519</v>
      </c>
    </row>
    <row r="4" spans="1:7">
      <c r="A4" t="s">
        <v>83</v>
      </c>
      <c r="B4">
        <f>Headcount_Plan!B79</f>
        <v>8062183.626874309</v>
      </c>
      <c r="C4">
        <f>1900000+(1400000*30%)</f>
        <v>2320000</v>
      </c>
      <c r="D4">
        <f t="shared" si="0"/>
        <v>10382183.626874309</v>
      </c>
      <c r="E4">
        <f>Headcount_Plan!M30</f>
        <v>49.353493801354169</v>
      </c>
      <c r="F4">
        <f t="shared" si="1"/>
        <v>210363.70127436533</v>
      </c>
      <c r="G4" s="27">
        <f>D4/OpEx_Budget!$N$28</f>
        <v>0.34968352289078886</v>
      </c>
    </row>
    <row r="5" spans="1:7">
      <c r="A5" t="s">
        <v>84</v>
      </c>
      <c r="B5">
        <f>Headcount_Plan!B80</f>
        <v>2550807.7770084813</v>
      </c>
      <c r="C5">
        <f>1400000*20%</f>
        <v>280000</v>
      </c>
      <c r="D5">
        <f t="shared" si="0"/>
        <v>2830807.7770084813</v>
      </c>
      <c r="E5">
        <f>Headcount_Plan!M37</f>
        <v>25.151059971524131</v>
      </c>
      <c r="F5">
        <f t="shared" si="1"/>
        <v>112552.22564033102</v>
      </c>
      <c r="G5" s="27">
        <f>D5/OpEx_Budget!$N$28</f>
        <v>9.5344762880965023E-2</v>
      </c>
    </row>
    <row r="6" spans="1:7">
      <c r="A6" t="s">
        <v>85</v>
      </c>
      <c r="B6">
        <f>Headcount_Plan!B81</f>
        <v>3035256.2017068183</v>
      </c>
      <c r="C6">
        <f>1100000+700000+500000+(1400000*25%)+(600000*30%)</f>
        <v>2830000</v>
      </c>
      <c r="D6">
        <f t="shared" si="0"/>
        <v>5865256.2017068183</v>
      </c>
      <c r="E6">
        <f>Headcount_Plan!M44</f>
        <v>24.052665487331158</v>
      </c>
      <c r="F6">
        <f>D6/E6</f>
        <v>243850.57052392478</v>
      </c>
      <c r="G6" s="27">
        <f>D6/OpEx_Budget!$N$28</f>
        <v>0.19754836987865554</v>
      </c>
    </row>
    <row r="9" spans="1:7">
      <c r="A9" s="54" t="s">
        <v>167</v>
      </c>
      <c r="B9" s="54" t="s">
        <v>168</v>
      </c>
    </row>
    <row r="10" spans="1:7">
      <c r="A10" s="54" t="s">
        <v>169</v>
      </c>
      <c r="B10" s="55">
        <f>SUM(D2:D6)</f>
        <v>29690228.298565883</v>
      </c>
    </row>
    <row r="11" spans="1:7">
      <c r="A11" s="54" t="s">
        <v>170</v>
      </c>
      <c r="B11" s="55">
        <f>OpEx_Budget!N28</f>
        <v>29690228.298565879</v>
      </c>
    </row>
    <row r="12" spans="1:7">
      <c r="A12" s="54" t="s">
        <v>171</v>
      </c>
      <c r="B12" s="55">
        <f>B10-B11</f>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406C3-0353-4A8A-A6F7-4A2200973B7D}">
  <dimension ref="A1:N36"/>
  <sheetViews>
    <sheetView zoomScale="65" workbookViewId="0">
      <selection activeCell="B31" sqref="B31"/>
    </sheetView>
  </sheetViews>
  <sheetFormatPr defaultRowHeight="14.4"/>
  <cols>
    <col min="1" max="1" width="22" customWidth="1"/>
    <col min="2" max="2" width="21" customWidth="1"/>
    <col min="3" max="3" width="20.44140625" customWidth="1"/>
    <col min="4" max="4" width="20" customWidth="1"/>
    <col min="5" max="5" width="14" customWidth="1"/>
    <col min="6" max="6" width="13.88671875" customWidth="1"/>
    <col min="7" max="7" width="13.5546875" customWidth="1"/>
    <col min="8" max="8" width="13.77734375" customWidth="1"/>
    <col min="9" max="9" width="14.6640625" customWidth="1"/>
    <col min="10" max="10" width="13.77734375" customWidth="1"/>
    <col min="11" max="11" width="13.6640625" customWidth="1"/>
    <col min="12" max="12" width="12.44140625" customWidth="1"/>
    <col min="13" max="13" width="12.77734375" customWidth="1"/>
    <col min="14" max="14" width="17.21875" customWidth="1"/>
  </cols>
  <sheetData>
    <row r="1" spans="1:14" ht="15.6">
      <c r="A1" s="57" t="s">
        <v>131</v>
      </c>
      <c r="B1" s="57" t="s">
        <v>132</v>
      </c>
      <c r="C1" s="57" t="s">
        <v>133</v>
      </c>
      <c r="D1" s="57" t="s">
        <v>134</v>
      </c>
    </row>
    <row r="2" spans="1:14">
      <c r="A2" s="22" t="s">
        <v>135</v>
      </c>
      <c r="B2" s="23">
        <v>3200000</v>
      </c>
      <c r="C2" s="24">
        <f>B2/12</f>
        <v>266666.66666666669</v>
      </c>
      <c r="D2" s="22" t="s">
        <v>136</v>
      </c>
    </row>
    <row r="3" spans="1:14">
      <c r="A3" s="22" t="s">
        <v>137</v>
      </c>
      <c r="B3" s="23">
        <v>1900000</v>
      </c>
      <c r="C3" s="24">
        <f t="shared" ref="C3:C8" si="0">B3/12</f>
        <v>158333.33333333334</v>
      </c>
      <c r="D3" s="22" t="s">
        <v>138</v>
      </c>
    </row>
    <row r="4" spans="1:14">
      <c r="A4" s="22" t="s">
        <v>139</v>
      </c>
      <c r="B4" s="23">
        <v>1400000</v>
      </c>
      <c r="C4" s="24">
        <f t="shared" si="0"/>
        <v>116666.66666666667</v>
      </c>
      <c r="D4" s="22" t="s">
        <v>140</v>
      </c>
    </row>
    <row r="5" spans="1:14">
      <c r="A5" s="22" t="s">
        <v>141</v>
      </c>
      <c r="B5" s="23">
        <v>1100000</v>
      </c>
      <c r="C5" s="24">
        <f t="shared" si="0"/>
        <v>91666.666666666672</v>
      </c>
      <c r="D5" s="22" t="s">
        <v>85</v>
      </c>
    </row>
    <row r="6" spans="1:14">
      <c r="A6" s="22" t="s">
        <v>142</v>
      </c>
      <c r="B6" s="23">
        <v>700000</v>
      </c>
      <c r="C6" s="24">
        <f t="shared" si="0"/>
        <v>58333.333333333336</v>
      </c>
      <c r="D6" s="22" t="s">
        <v>85</v>
      </c>
    </row>
    <row r="7" spans="1:14">
      <c r="A7" s="22" t="s">
        <v>143</v>
      </c>
      <c r="B7" s="23">
        <v>600000</v>
      </c>
      <c r="C7" s="24">
        <f t="shared" si="0"/>
        <v>50000</v>
      </c>
      <c r="D7" s="22" t="s">
        <v>140</v>
      </c>
    </row>
    <row r="8" spans="1:14">
      <c r="A8" s="22" t="s">
        <v>144</v>
      </c>
      <c r="B8" s="23">
        <v>500000</v>
      </c>
      <c r="C8" s="24">
        <f t="shared" si="0"/>
        <v>41666.666666666664</v>
      </c>
      <c r="D8" s="22" t="s">
        <v>85</v>
      </c>
    </row>
    <row r="11" spans="1:14" ht="15.6">
      <c r="A11" s="22" t="s">
        <v>131</v>
      </c>
      <c r="B11" s="14" t="s">
        <v>6</v>
      </c>
      <c r="C11" s="14" t="s">
        <v>7</v>
      </c>
      <c r="D11" s="14" t="s">
        <v>8</v>
      </c>
      <c r="E11" s="14" t="s">
        <v>9</v>
      </c>
      <c r="F11" s="14" t="s">
        <v>10</v>
      </c>
      <c r="G11" s="14" t="s">
        <v>11</v>
      </c>
      <c r="H11" s="14" t="s">
        <v>12</v>
      </c>
      <c r="I11" s="14" t="s">
        <v>13</v>
      </c>
      <c r="J11" s="14" t="s">
        <v>14</v>
      </c>
      <c r="K11" s="14" t="s">
        <v>15</v>
      </c>
      <c r="L11" s="14" t="s">
        <v>16</v>
      </c>
      <c r="M11" s="14" t="s">
        <v>17</v>
      </c>
      <c r="N11" s="14" t="s">
        <v>145</v>
      </c>
    </row>
    <row r="12" spans="1:14">
      <c r="A12" s="22" t="s">
        <v>135</v>
      </c>
      <c r="B12" s="17">
        <f>$C2</f>
        <v>266666.66666666669</v>
      </c>
      <c r="C12" s="17">
        <f t="shared" ref="C12:M12" si="1">$C2</f>
        <v>266666.66666666669</v>
      </c>
      <c r="D12" s="17">
        <f t="shared" si="1"/>
        <v>266666.66666666669</v>
      </c>
      <c r="E12" s="17">
        <f t="shared" si="1"/>
        <v>266666.66666666669</v>
      </c>
      <c r="F12" s="17">
        <f t="shared" si="1"/>
        <v>266666.66666666669</v>
      </c>
      <c r="G12" s="17">
        <f t="shared" si="1"/>
        <v>266666.66666666669</v>
      </c>
      <c r="H12" s="17">
        <f t="shared" si="1"/>
        <v>266666.66666666669</v>
      </c>
      <c r="I12" s="17">
        <f t="shared" si="1"/>
        <v>266666.66666666669</v>
      </c>
      <c r="J12" s="17">
        <f t="shared" si="1"/>
        <v>266666.66666666669</v>
      </c>
      <c r="K12" s="17">
        <f t="shared" si="1"/>
        <v>266666.66666666669</v>
      </c>
      <c r="L12" s="17">
        <f t="shared" si="1"/>
        <v>266666.66666666669</v>
      </c>
      <c r="M12" s="17">
        <f t="shared" si="1"/>
        <v>266666.66666666669</v>
      </c>
      <c r="N12" s="25">
        <f>SUM(B12:M12)</f>
        <v>3199999.9999999995</v>
      </c>
    </row>
    <row r="13" spans="1:14">
      <c r="A13" s="22" t="s">
        <v>137</v>
      </c>
      <c r="B13" s="17">
        <f t="shared" ref="B13:M18" si="2">$C3</f>
        <v>158333.33333333334</v>
      </c>
      <c r="C13" s="17">
        <f>$C3</f>
        <v>158333.33333333334</v>
      </c>
      <c r="D13" s="17">
        <f t="shared" ref="D13:M13" si="3">$C3</f>
        <v>158333.33333333334</v>
      </c>
      <c r="E13" s="17">
        <f t="shared" si="3"/>
        <v>158333.33333333334</v>
      </c>
      <c r="F13" s="17">
        <f t="shared" si="3"/>
        <v>158333.33333333334</v>
      </c>
      <c r="G13" s="17">
        <f t="shared" si="3"/>
        <v>158333.33333333334</v>
      </c>
      <c r="H13" s="17">
        <f t="shared" si="3"/>
        <v>158333.33333333334</v>
      </c>
      <c r="I13" s="17">
        <f t="shared" si="3"/>
        <v>158333.33333333334</v>
      </c>
      <c r="J13" s="17">
        <f t="shared" si="3"/>
        <v>158333.33333333334</v>
      </c>
      <c r="K13" s="17">
        <f t="shared" si="3"/>
        <v>158333.33333333334</v>
      </c>
      <c r="L13" s="17">
        <f t="shared" si="3"/>
        <v>158333.33333333334</v>
      </c>
      <c r="M13" s="17">
        <f t="shared" si="3"/>
        <v>158333.33333333334</v>
      </c>
      <c r="N13" s="25">
        <f>SUM(B13:M13)</f>
        <v>1899999.9999999998</v>
      </c>
    </row>
    <row r="14" spans="1:14">
      <c r="A14" s="22" t="s">
        <v>139</v>
      </c>
      <c r="B14" s="17">
        <f t="shared" si="2"/>
        <v>116666.66666666667</v>
      </c>
      <c r="C14" s="17">
        <f t="shared" si="2"/>
        <v>116666.66666666667</v>
      </c>
      <c r="D14" s="17">
        <f t="shared" si="2"/>
        <v>116666.66666666667</v>
      </c>
      <c r="E14" s="17">
        <f t="shared" si="2"/>
        <v>116666.66666666667</v>
      </c>
      <c r="F14" s="17">
        <f t="shared" si="2"/>
        <v>116666.66666666667</v>
      </c>
      <c r="G14" s="17">
        <f t="shared" si="2"/>
        <v>116666.66666666667</v>
      </c>
      <c r="H14" s="17">
        <f t="shared" si="2"/>
        <v>116666.66666666667</v>
      </c>
      <c r="I14" s="17">
        <f t="shared" si="2"/>
        <v>116666.66666666667</v>
      </c>
      <c r="J14" s="17">
        <f t="shared" si="2"/>
        <v>116666.66666666667</v>
      </c>
      <c r="K14" s="17">
        <f t="shared" si="2"/>
        <v>116666.66666666667</v>
      </c>
      <c r="L14" s="17">
        <f t="shared" si="2"/>
        <v>116666.66666666667</v>
      </c>
      <c r="M14" s="17">
        <f t="shared" si="2"/>
        <v>116666.66666666667</v>
      </c>
      <c r="N14" s="25">
        <f t="shared" ref="N14:N18" si="4">SUM(B14:M14)</f>
        <v>1400000.0000000002</v>
      </c>
    </row>
    <row r="15" spans="1:14">
      <c r="A15" s="22" t="s">
        <v>141</v>
      </c>
      <c r="B15" s="17">
        <f t="shared" si="2"/>
        <v>91666.666666666672</v>
      </c>
      <c r="C15" s="17">
        <f t="shared" si="2"/>
        <v>91666.666666666672</v>
      </c>
      <c r="D15" s="17">
        <f t="shared" si="2"/>
        <v>91666.666666666672</v>
      </c>
      <c r="E15" s="17">
        <f t="shared" si="2"/>
        <v>91666.666666666672</v>
      </c>
      <c r="F15" s="17">
        <f t="shared" si="2"/>
        <v>91666.666666666672</v>
      </c>
      <c r="G15" s="17">
        <f t="shared" si="2"/>
        <v>91666.666666666672</v>
      </c>
      <c r="H15" s="17">
        <f t="shared" si="2"/>
        <v>91666.666666666672</v>
      </c>
      <c r="I15" s="17">
        <f t="shared" si="2"/>
        <v>91666.666666666672</v>
      </c>
      <c r="J15" s="17">
        <f t="shared" si="2"/>
        <v>91666.666666666672</v>
      </c>
      <c r="K15" s="17">
        <f t="shared" si="2"/>
        <v>91666.666666666672</v>
      </c>
      <c r="L15" s="17">
        <f t="shared" si="2"/>
        <v>91666.666666666672</v>
      </c>
      <c r="M15" s="17">
        <f t="shared" si="2"/>
        <v>91666.666666666672</v>
      </c>
      <c r="N15" s="25">
        <f t="shared" si="4"/>
        <v>1099999.9999999998</v>
      </c>
    </row>
    <row r="16" spans="1:14">
      <c r="A16" s="22" t="s">
        <v>142</v>
      </c>
      <c r="B16" s="17">
        <f t="shared" si="2"/>
        <v>58333.333333333336</v>
      </c>
      <c r="C16" s="17">
        <f t="shared" si="2"/>
        <v>58333.333333333336</v>
      </c>
      <c r="D16" s="17">
        <f t="shared" si="2"/>
        <v>58333.333333333336</v>
      </c>
      <c r="E16" s="17">
        <f t="shared" si="2"/>
        <v>58333.333333333336</v>
      </c>
      <c r="F16" s="17">
        <f t="shared" si="2"/>
        <v>58333.333333333336</v>
      </c>
      <c r="G16" s="17">
        <f t="shared" si="2"/>
        <v>58333.333333333336</v>
      </c>
      <c r="H16" s="17">
        <f t="shared" si="2"/>
        <v>58333.333333333336</v>
      </c>
      <c r="I16" s="17">
        <f t="shared" si="2"/>
        <v>58333.333333333336</v>
      </c>
      <c r="J16" s="17">
        <f t="shared" si="2"/>
        <v>58333.333333333336</v>
      </c>
      <c r="K16" s="17">
        <f t="shared" si="2"/>
        <v>58333.333333333336</v>
      </c>
      <c r="L16" s="17">
        <f t="shared" si="2"/>
        <v>58333.333333333336</v>
      </c>
      <c r="M16" s="17">
        <f t="shared" si="2"/>
        <v>58333.333333333336</v>
      </c>
      <c r="N16" s="25">
        <f t="shared" si="4"/>
        <v>700000.00000000012</v>
      </c>
    </row>
    <row r="17" spans="1:14">
      <c r="A17" s="22" t="s">
        <v>143</v>
      </c>
      <c r="B17" s="17">
        <f t="shared" si="2"/>
        <v>50000</v>
      </c>
      <c r="C17" s="17">
        <f t="shared" si="2"/>
        <v>50000</v>
      </c>
      <c r="D17" s="17">
        <f t="shared" si="2"/>
        <v>50000</v>
      </c>
      <c r="E17" s="17">
        <f t="shared" si="2"/>
        <v>50000</v>
      </c>
      <c r="F17" s="17">
        <f t="shared" si="2"/>
        <v>50000</v>
      </c>
      <c r="G17" s="17">
        <f t="shared" si="2"/>
        <v>50000</v>
      </c>
      <c r="H17" s="17">
        <f t="shared" si="2"/>
        <v>50000</v>
      </c>
      <c r="I17" s="17">
        <f t="shared" si="2"/>
        <v>50000</v>
      </c>
      <c r="J17" s="17">
        <f t="shared" si="2"/>
        <v>50000</v>
      </c>
      <c r="K17" s="17">
        <f t="shared" si="2"/>
        <v>50000</v>
      </c>
      <c r="L17" s="17">
        <f t="shared" si="2"/>
        <v>50000</v>
      </c>
      <c r="M17" s="17">
        <f t="shared" si="2"/>
        <v>50000</v>
      </c>
      <c r="N17" s="25">
        <f t="shared" si="4"/>
        <v>600000</v>
      </c>
    </row>
    <row r="18" spans="1:14">
      <c r="A18" s="22" t="s">
        <v>144</v>
      </c>
      <c r="B18" s="17">
        <f t="shared" si="2"/>
        <v>41666.666666666664</v>
      </c>
      <c r="C18" s="17">
        <f t="shared" si="2"/>
        <v>41666.666666666664</v>
      </c>
      <c r="D18" s="17">
        <f t="shared" si="2"/>
        <v>41666.666666666664</v>
      </c>
      <c r="E18" s="17">
        <f t="shared" si="2"/>
        <v>41666.666666666664</v>
      </c>
      <c r="F18" s="17">
        <f t="shared" si="2"/>
        <v>41666.666666666664</v>
      </c>
      <c r="G18" s="17">
        <f t="shared" si="2"/>
        <v>41666.666666666664</v>
      </c>
      <c r="H18" s="17">
        <f t="shared" si="2"/>
        <v>41666.666666666664</v>
      </c>
      <c r="I18" s="17">
        <f t="shared" si="2"/>
        <v>41666.666666666664</v>
      </c>
      <c r="J18" s="17">
        <f t="shared" si="2"/>
        <v>41666.666666666664</v>
      </c>
      <c r="K18" s="17">
        <f t="shared" si="2"/>
        <v>41666.666666666664</v>
      </c>
      <c r="L18" s="17">
        <f t="shared" si="2"/>
        <v>41666.666666666664</v>
      </c>
      <c r="M18" s="17">
        <f t="shared" si="2"/>
        <v>41666.666666666664</v>
      </c>
      <c r="N18" s="25">
        <f t="shared" si="4"/>
        <v>500000.00000000006</v>
      </c>
    </row>
    <row r="22" spans="1:14">
      <c r="A22" t="s">
        <v>146</v>
      </c>
    </row>
    <row r="23" spans="1:14" ht="15.6">
      <c r="A23" t="s">
        <v>147</v>
      </c>
      <c r="B23" s="14" t="s">
        <v>61</v>
      </c>
      <c r="C23" s="14" t="s">
        <v>62</v>
      </c>
      <c r="D23" s="14" t="s">
        <v>63</v>
      </c>
      <c r="E23" s="14" t="s">
        <v>64</v>
      </c>
      <c r="F23" s="14" t="s">
        <v>65</v>
      </c>
      <c r="G23" s="14" t="s">
        <v>66</v>
      </c>
      <c r="H23" s="14" t="s">
        <v>67</v>
      </c>
      <c r="I23" s="14" t="s">
        <v>68</v>
      </c>
      <c r="J23" s="14" t="s">
        <v>69</v>
      </c>
      <c r="K23" s="14" t="s">
        <v>70</v>
      </c>
      <c r="L23" s="14" t="s">
        <v>71</v>
      </c>
      <c r="M23" s="14" t="s">
        <v>72</v>
      </c>
      <c r="N23" s="14" t="s">
        <v>145</v>
      </c>
    </row>
    <row r="24" spans="1:14">
      <c r="A24" t="s">
        <v>138</v>
      </c>
      <c r="B24" s="18">
        <f>Headcount_Plan!B71+B13+(B14*20%)</f>
        <v>374541.32606721163</v>
      </c>
      <c r="C24" s="18">
        <f>Headcount_Plan!C71+C13+(C14*20%)</f>
        <v>372612.57947320613</v>
      </c>
      <c r="D24" s="18">
        <f>Headcount_Plan!D71+D13+(D14*20%)</f>
        <v>388414.29200726614</v>
      </c>
      <c r="E24" s="18">
        <f>Headcount_Plan!E71+E13+(E14*20%)</f>
        <v>386346.81575386011</v>
      </c>
      <c r="F24" s="18">
        <f>Headcount_Plan!F71+F13+(F14*20%)</f>
        <v>384300.01426298817</v>
      </c>
      <c r="G24" s="18">
        <f>Headcount_Plan!G71+G13+(G14*20%)</f>
        <v>399984.85244915035</v>
      </c>
      <c r="H24" s="18">
        <f>Headcount_Plan!H71+H13+(H14*20%)</f>
        <v>397801.67059132544</v>
      </c>
      <c r="I24" s="18">
        <f>Headcount_Plan!I71+I13+(I14*20%)</f>
        <v>395640.32055207895</v>
      </c>
      <c r="J24" s="18">
        <f>Headcount_Plan!J71+J13+(J14*20%)</f>
        <v>411211.75567535014</v>
      </c>
      <c r="K24" s="18">
        <f>Headcount_Plan!K71+K13+(K14*20%)</f>
        <v>408916.30478526332</v>
      </c>
      <c r="L24" s="18">
        <f>Headcount_Plan!L71+L13+(L14*20%)</f>
        <v>406643.80840407737</v>
      </c>
      <c r="M24" s="18">
        <f>Headcount_Plan!M71+M13+(M14*20%)</f>
        <v>404394.03698670323</v>
      </c>
      <c r="N24" s="18">
        <f>SUM(B24:M24)</f>
        <v>4730807.7770084813</v>
      </c>
    </row>
    <row r="25" spans="1:14">
      <c r="A25" t="s">
        <v>148</v>
      </c>
      <c r="B25">
        <f>Headcount_Plan!B68+Headcount_Plan!B69+B12+(B14*25%)+(B17*70%)</f>
        <v>845120.79927338788</v>
      </c>
      <c r="C25">
        <f>Headcount_Plan!C68+Headcount_Plan!C69+C12+(C14*25%)+(C17*70%)</f>
        <v>863274.92733878305</v>
      </c>
      <c r="D25">
        <f>Headcount_Plan!D68+Headcount_Plan!D69+D12+(D14*25%)+(D17*70%)</f>
        <v>867396.46961852873</v>
      </c>
      <c r="E25">
        <f>Headcount_Plan!E68+Headcount_Plan!E69+E12+(E14*25%)+(E17*70%)</f>
        <v>862030.83825567679</v>
      </c>
      <c r="F25">
        <f>Headcount_Plan!F68+Headcount_Plan!F69+F12+(F14*25%)+(F17*70%)</f>
        <v>880015.86593124887</v>
      </c>
      <c r="G25">
        <f>Headcount_Plan!G68+Headcount_Plan!G69+G12+(G14*25%)+(G17*70%)</f>
        <v>883969.99882506987</v>
      </c>
      <c r="H25">
        <f>Headcount_Plan!H68+Headcount_Plan!H69+H12+(H14*25%)+(H17*70%)</f>
        <v>878438.6321701525</v>
      </c>
      <c r="I25">
        <f>Headcount_Plan!I68+Headcount_Plan!I69+I12+(I14*25%)+(I17*70%)</f>
        <v>896259.58190658002</v>
      </c>
      <c r="J25">
        <f>Headcount_Plan!J68+Headcount_Plan!J69+J12+(J14*25%)+(J17*70%)</f>
        <v>900051.27764064784</v>
      </c>
      <c r="K25">
        <f>Headcount_Plan!K68+Headcount_Plan!K69+K12+(K14*25%)+(K17*70%)</f>
        <v>917656.10092237021</v>
      </c>
      <c r="L25">
        <f>Headcount_Plan!L68+Headcount_Plan!L69+L12+(L14*25%)+(L17*70%)</f>
        <v>911787.8732464799</v>
      </c>
      <c r="M25">
        <f>Headcount_Plan!M68+Headcount_Plan!M69+M12+(M14*25%)+(M17*70%)</f>
        <v>905978.32784734841</v>
      </c>
      <c r="N25" s="18">
        <f>SUM(B25:M25)</f>
        <v>10611980.692976275</v>
      </c>
    </row>
    <row r="26" spans="1:14">
      <c r="A26" t="s">
        <v>149</v>
      </c>
      <c r="B26">
        <f>Headcount_Plan!B70+(B14*30%)</f>
        <v>666226.15803814714</v>
      </c>
      <c r="C26">
        <f>Headcount_Plan!C70+(C14*30%)</f>
        <v>674082.83378746582</v>
      </c>
      <c r="D26">
        <f>Headcount_Plan!D70+(D14*30%)</f>
        <v>681860.94277929142</v>
      </c>
      <c r="E26">
        <f>Headcount_Plan!E70+(E14*30%)</f>
        <v>689561.2706811988</v>
      </c>
      <c r="F26">
        <f>Headcount_Plan!F70+(F14*30%)</f>
        <v>697184.59530408715</v>
      </c>
      <c r="G26">
        <f>Headcount_Plan!G70+(G14*30%)</f>
        <v>704731.68668074661</v>
      </c>
      <c r="H26">
        <f>Headcount_Plan!H70+(H14*30%)</f>
        <v>712203.30714363931</v>
      </c>
      <c r="I26">
        <f>Headcount_Plan!I70+(I14*30%)</f>
        <v>719600.2114019033</v>
      </c>
      <c r="J26">
        <f>Headcount_Plan!J70+(J14*30%)</f>
        <v>726923.14661758451</v>
      </c>
      <c r="K26">
        <f>Headcount_Plan!K70+(K14*30%)</f>
        <v>734172.85248110874</v>
      </c>
      <c r="L26">
        <f>Headcount_Plan!L70+(L14*30%)</f>
        <v>741350.06128599809</v>
      </c>
      <c r="M26">
        <f>Headcount_Plan!M70+(M14*30%)</f>
        <v>734286.56067313813</v>
      </c>
      <c r="N26">
        <f>SUM(B26:M26)</f>
        <v>8482183.626874309</v>
      </c>
    </row>
    <row r="27" spans="1:14">
      <c r="A27" t="s">
        <v>150</v>
      </c>
      <c r="B27">
        <f>Headcount_Plan!B72+B15+B16+B18+(B14*25%)+(B17*30%)</f>
        <v>491538.37420526799</v>
      </c>
      <c r="C27">
        <f>Headcount_Plan!C72+C15+C16+C18+(C14*25%)+(C17*30%)</f>
        <v>488981.32379654865</v>
      </c>
      <c r="D27">
        <f>Headcount_Plan!D72+D15+D16+D18+(D14*25%)+(D17*30%)</f>
        <v>486449.84389191656</v>
      </c>
      <c r="E27">
        <f>Headcount_Plan!E72+E15+E16+E18+(E14*25%)+(E17*30%)</f>
        <v>494275.19558923715</v>
      </c>
      <c r="F27">
        <f>Headcount_Plan!F72+F15+F16+F18+(F14*25%)+(F17*30%)</f>
        <v>491690.7769666781</v>
      </c>
      <c r="G27">
        <f>Headcount_Plan!G72+G15+G16+G18+(G14*25%)+(G17*30%)</f>
        <v>489132.20253034466</v>
      </c>
      <c r="H27">
        <f>Headcount_Plan!H72+H15+H16+H18+(H14*25%)+(H17*30%)</f>
        <v>486599.21383837453</v>
      </c>
      <c r="I27">
        <f>Headcount_Plan!I72+I15+I16+I18+(I14*25%)+(I17*30%)</f>
        <v>484091.55503332411</v>
      </c>
      <c r="J27">
        <f>Headcount_Plan!J72+J15+J16+J18+(J14*25%)+(J17*30%)</f>
        <v>491940.48961923068</v>
      </c>
      <c r="K27">
        <f>Headcount_Plan!K72+K15+K16+K18+(K14*25%)+(K17*30%)</f>
        <v>489379.41805637174</v>
      </c>
      <c r="L27">
        <f>Headcount_Plan!L72+L15+L16+L18+(L14*25%)+(L17*30%)</f>
        <v>486843.95720914128</v>
      </c>
      <c r="M27">
        <f>Headcount_Plan!M72+M15+M16+M18+(M14*25%)+(M17*30%)</f>
        <v>484333.85097038327</v>
      </c>
      <c r="N27">
        <f>SUM(B27:M27)</f>
        <v>5865256.2017068192</v>
      </c>
    </row>
    <row r="28" spans="1:14">
      <c r="A28" t="s">
        <v>151</v>
      </c>
      <c r="B28">
        <f>SUM(B24:B27)</f>
        <v>2377426.6575840148</v>
      </c>
      <c r="C28">
        <f t="shared" ref="C28:M28" si="5">SUM(C24:C27)</f>
        <v>2398951.6643960038</v>
      </c>
      <c r="D28">
        <f t="shared" si="5"/>
        <v>2424121.5482970029</v>
      </c>
      <c r="E28">
        <f t="shared" si="5"/>
        <v>2432214.1202799724</v>
      </c>
      <c r="F28">
        <f t="shared" si="5"/>
        <v>2453191.2524650022</v>
      </c>
      <c r="G28">
        <f t="shared" si="5"/>
        <v>2477818.7404853115</v>
      </c>
      <c r="H28">
        <f t="shared" si="5"/>
        <v>2475042.8237434919</v>
      </c>
      <c r="I28">
        <f t="shared" si="5"/>
        <v>2495591.6688938863</v>
      </c>
      <c r="J28">
        <f t="shared" si="5"/>
        <v>2530126.6695528133</v>
      </c>
      <c r="K28">
        <f t="shared" si="5"/>
        <v>2550124.6762451138</v>
      </c>
      <c r="L28">
        <f t="shared" si="5"/>
        <v>2546625.7001456968</v>
      </c>
      <c r="M28">
        <f t="shared" si="5"/>
        <v>2528992.776477573</v>
      </c>
      <c r="N28">
        <f>SUM(B28:M28)</f>
        <v>29690228.298565879</v>
      </c>
    </row>
    <row r="31" spans="1:14">
      <c r="A31" s="26" t="s">
        <v>152</v>
      </c>
    </row>
    <row r="32" spans="1:14">
      <c r="A32" t="s">
        <v>25</v>
      </c>
      <c r="B32">
        <v>27204154.68</v>
      </c>
    </row>
    <row r="33" spans="1:2">
      <c r="A33" t="s">
        <v>138</v>
      </c>
      <c r="B33">
        <f>N24</f>
        <v>4730807.7770084813</v>
      </c>
    </row>
    <row r="34" spans="1:2">
      <c r="A34" t="s">
        <v>29</v>
      </c>
      <c r="B34" s="27">
        <f>(B32-B33)/B32</f>
        <v>0.82609980597976507</v>
      </c>
    </row>
    <row r="35" spans="1:2">
      <c r="A35" t="s">
        <v>151</v>
      </c>
      <c r="B35">
        <f>N28</f>
        <v>29690228.298565879</v>
      </c>
    </row>
    <row r="36" spans="1:2">
      <c r="A36" t="s">
        <v>153</v>
      </c>
      <c r="B36" s="27">
        <f>B35/B32</f>
        <v>1.0913858066096644</v>
      </c>
    </row>
  </sheetData>
  <phoneticPr fontId="2"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9AFB7-3165-4A5D-9F2F-00D0CC03D604}">
  <dimension ref="A1:M26"/>
  <sheetViews>
    <sheetView zoomScale="80" zoomScaleNormal="80" workbookViewId="0">
      <pane xSplit="1" topLeftCell="B1" activePane="topRight" state="frozen"/>
      <selection pane="topRight" activeCell="C20" sqref="C20"/>
    </sheetView>
  </sheetViews>
  <sheetFormatPr defaultRowHeight="14.4"/>
  <cols>
    <col min="1" max="1" width="53.33203125" customWidth="1"/>
    <col min="2" max="2" width="25.21875" customWidth="1"/>
    <col min="3" max="3" width="16.6640625" customWidth="1"/>
    <col min="4" max="4" width="18.44140625" customWidth="1"/>
    <col min="5" max="5" width="15.109375" customWidth="1"/>
    <col min="6" max="6" width="16.21875" customWidth="1"/>
    <col min="7" max="7" width="14.88671875" customWidth="1"/>
    <col min="8" max="8" width="14.6640625" customWidth="1"/>
    <col min="9" max="9" width="15.6640625" customWidth="1"/>
    <col min="10" max="10" width="14.5546875" customWidth="1"/>
    <col min="11" max="11" width="15.109375" customWidth="1"/>
    <col min="12" max="12" width="17.5546875" customWidth="1"/>
    <col min="13" max="13" width="15.77734375" customWidth="1"/>
  </cols>
  <sheetData>
    <row r="1" spans="1:13" ht="15.6">
      <c r="B1" s="14" t="s">
        <v>6</v>
      </c>
      <c r="C1" s="14" t="s">
        <v>7</v>
      </c>
      <c r="D1" s="14" t="s">
        <v>8</v>
      </c>
      <c r="E1" s="14" t="s">
        <v>9</v>
      </c>
      <c r="F1" s="14" t="s">
        <v>10</v>
      </c>
      <c r="G1" s="14" t="s">
        <v>11</v>
      </c>
      <c r="H1" s="14" t="s">
        <v>12</v>
      </c>
      <c r="I1" s="14" t="s">
        <v>13</v>
      </c>
      <c r="J1" s="14" t="s">
        <v>14</v>
      </c>
      <c r="K1" s="14" t="s">
        <v>15</v>
      </c>
      <c r="L1" s="14" t="s">
        <v>16</v>
      </c>
      <c r="M1" s="14" t="s">
        <v>17</v>
      </c>
    </row>
    <row r="2" spans="1:13">
      <c r="A2" t="s">
        <v>172</v>
      </c>
      <c r="B2" s="8">
        <f>Rev_Build!B16</f>
        <v>2037333.3333333333</v>
      </c>
      <c r="C2" s="8">
        <f>Rev_Build!C16</f>
        <v>2074928</v>
      </c>
      <c r="D2" s="8">
        <f>Rev_Build!D16</f>
        <v>2112785.8293333333</v>
      </c>
      <c r="E2" s="8">
        <f>Rev_Build!E16</f>
        <v>2152075.3301386666</v>
      </c>
      <c r="F2" s="8">
        <f>Rev_Build!F16</f>
        <v>2192864.8574496373</v>
      </c>
      <c r="G2" s="8">
        <f>Rev_Build!G16</f>
        <v>2235226.1614517849</v>
      </c>
      <c r="H2" s="8">
        <f>Rev_Build!H16</f>
        <v>2279234.5570819476</v>
      </c>
      <c r="I2" s="8">
        <f>Rev_Build!I16</f>
        <v>2324969.1021065209</v>
      </c>
      <c r="J2" s="8">
        <f>Rev_Build!J16</f>
        <v>2372512.7841025167</v>
      </c>
      <c r="K2" s="8">
        <f>Rev_Build!K16</f>
        <v>2421952.7167865471</v>
      </c>
      <c r="L2" s="8">
        <f>Rev_Build!L16</f>
        <v>2473380.3461591308</v>
      </c>
      <c r="M2" s="8">
        <f>Rev_Build!M16</f>
        <v>2526891.6669550766</v>
      </c>
    </row>
    <row r="3" spans="1:13">
      <c r="A3" t="s">
        <v>151</v>
      </c>
      <c r="B3">
        <f>OpEx_Budget!B28</f>
        <v>2377426.6575840148</v>
      </c>
      <c r="C3">
        <f>OpEx_Budget!C28</f>
        <v>2398951.6643960038</v>
      </c>
      <c r="D3">
        <f>OpEx_Budget!D28</f>
        <v>2424121.5482970029</v>
      </c>
      <c r="E3">
        <f>OpEx_Budget!E28</f>
        <v>2432214.1202799724</v>
      </c>
      <c r="F3">
        <f>OpEx_Budget!F28</f>
        <v>2453191.2524650022</v>
      </c>
      <c r="G3">
        <f>OpEx_Budget!G28</f>
        <v>2477818.7404853115</v>
      </c>
      <c r="H3">
        <f>OpEx_Budget!H28</f>
        <v>2475042.8237434919</v>
      </c>
      <c r="I3">
        <f>OpEx_Budget!I28</f>
        <v>2495591.6688938863</v>
      </c>
      <c r="J3">
        <f>OpEx_Budget!J28</f>
        <v>2530126.6695528133</v>
      </c>
      <c r="K3">
        <f>OpEx_Budget!K28</f>
        <v>2550124.6762451138</v>
      </c>
      <c r="L3">
        <f>OpEx_Budget!L28</f>
        <v>2546625.7001456968</v>
      </c>
      <c r="M3">
        <f>OpEx_Budget!M28</f>
        <v>2528992.776477573</v>
      </c>
    </row>
    <row r="4" spans="1:13">
      <c r="A4" t="s">
        <v>173</v>
      </c>
      <c r="B4" s="8">
        <f>B2-B3</f>
        <v>-340093.32425068156</v>
      </c>
      <c r="C4" s="8">
        <f t="shared" ref="C4:M4" si="0">C2-C3</f>
        <v>-324023.66439600382</v>
      </c>
      <c r="D4" s="8">
        <f t="shared" si="0"/>
        <v>-311335.71896366961</v>
      </c>
      <c r="E4" s="8">
        <f t="shared" si="0"/>
        <v>-280138.79014130589</v>
      </c>
      <c r="F4" s="8">
        <f t="shared" si="0"/>
        <v>-260326.39501536498</v>
      </c>
      <c r="G4" s="8">
        <f t="shared" si="0"/>
        <v>-242592.57903352659</v>
      </c>
      <c r="H4" s="8">
        <f t="shared" si="0"/>
        <v>-195808.26666154433</v>
      </c>
      <c r="I4" s="8">
        <f t="shared" si="0"/>
        <v>-170622.56678736536</v>
      </c>
      <c r="J4" s="8">
        <f t="shared" si="0"/>
        <v>-157613.88545029657</v>
      </c>
      <c r="K4" s="8">
        <f t="shared" si="0"/>
        <v>-128171.95945856674</v>
      </c>
      <c r="L4" s="8">
        <f t="shared" si="0"/>
        <v>-73245.353986565955</v>
      </c>
      <c r="M4" s="8">
        <f t="shared" si="0"/>
        <v>-2101.1095224963501</v>
      </c>
    </row>
    <row r="5" spans="1:13">
      <c r="A5" t="s">
        <v>174</v>
      </c>
      <c r="B5">
        <v>150000</v>
      </c>
      <c r="C5">
        <v>150000</v>
      </c>
      <c r="D5">
        <v>150000</v>
      </c>
      <c r="E5">
        <v>150000</v>
      </c>
      <c r="F5">
        <v>150000</v>
      </c>
      <c r="G5">
        <v>150000</v>
      </c>
      <c r="H5">
        <v>150000</v>
      </c>
      <c r="I5">
        <v>150000</v>
      </c>
      <c r="J5">
        <v>150000</v>
      </c>
      <c r="K5">
        <v>150000</v>
      </c>
      <c r="L5">
        <v>150000</v>
      </c>
      <c r="M5">
        <v>150000</v>
      </c>
    </row>
    <row r="6" spans="1:13">
      <c r="A6" t="s">
        <v>175</v>
      </c>
      <c r="B6" s="8">
        <f>B4+B5</f>
        <v>-190093.32425068156</v>
      </c>
      <c r="C6" s="8">
        <f t="shared" ref="C6:M6" si="1">C4+C5</f>
        <v>-174023.66439600382</v>
      </c>
      <c r="D6" s="8">
        <f t="shared" si="1"/>
        <v>-161335.71896366961</v>
      </c>
      <c r="E6" s="8">
        <f t="shared" si="1"/>
        <v>-130138.79014130589</v>
      </c>
      <c r="F6" s="8">
        <f t="shared" si="1"/>
        <v>-110326.39501536498</v>
      </c>
      <c r="G6" s="8">
        <f t="shared" si="1"/>
        <v>-92592.579033526592</v>
      </c>
      <c r="H6" s="8">
        <f t="shared" si="1"/>
        <v>-45808.26666154433</v>
      </c>
      <c r="I6" s="8">
        <f t="shared" si="1"/>
        <v>-20622.566787365358</v>
      </c>
      <c r="J6" s="8">
        <f t="shared" si="1"/>
        <v>-7613.8854502965696</v>
      </c>
      <c r="K6" s="8">
        <f t="shared" si="1"/>
        <v>21828.040541433264</v>
      </c>
      <c r="L6" s="8">
        <f t="shared" si="1"/>
        <v>76754.646013434045</v>
      </c>
      <c r="M6" s="8">
        <f t="shared" si="1"/>
        <v>147898.89047750365</v>
      </c>
    </row>
    <row r="7" spans="1:13">
      <c r="A7" t="s">
        <v>176</v>
      </c>
      <c r="B7">
        <v>28000000</v>
      </c>
      <c r="C7" s="8">
        <f>B7+B6</f>
        <v>27809906.675749317</v>
      </c>
      <c r="D7" s="8">
        <f>C7+C6</f>
        <v>27635883.011353314</v>
      </c>
      <c r="E7" s="8">
        <f t="shared" ref="E7:M7" si="2">D7+D6</f>
        <v>27474547.292389646</v>
      </c>
      <c r="F7" s="8">
        <f t="shared" si="2"/>
        <v>27344408.502248339</v>
      </c>
      <c r="G7" s="8">
        <f t="shared" si="2"/>
        <v>27234082.107232973</v>
      </c>
      <c r="H7" s="8">
        <f t="shared" si="2"/>
        <v>27141489.528199445</v>
      </c>
      <c r="I7" s="8">
        <f t="shared" si="2"/>
        <v>27095681.261537902</v>
      </c>
      <c r="J7" s="8">
        <f t="shared" si="2"/>
        <v>27075058.694750536</v>
      </c>
      <c r="K7" s="8">
        <f t="shared" si="2"/>
        <v>27067444.80930024</v>
      </c>
      <c r="L7" s="8">
        <f t="shared" si="2"/>
        <v>27089272.849841673</v>
      </c>
      <c r="M7" s="8">
        <f t="shared" si="2"/>
        <v>27166027.495855108</v>
      </c>
    </row>
    <row r="8" spans="1:13">
      <c r="A8" t="s">
        <v>177</v>
      </c>
      <c r="B8" s="8">
        <f>B7+B6</f>
        <v>27809906.675749317</v>
      </c>
      <c r="C8" s="8">
        <f>C7+C6</f>
        <v>27635883.011353314</v>
      </c>
      <c r="D8" s="8">
        <f t="shared" ref="D8:M8" si="3">D7+D6</f>
        <v>27474547.292389646</v>
      </c>
      <c r="E8" s="8">
        <f t="shared" si="3"/>
        <v>27344408.502248339</v>
      </c>
      <c r="F8" s="8">
        <f t="shared" si="3"/>
        <v>27234082.107232973</v>
      </c>
      <c r="G8" s="8">
        <f t="shared" si="3"/>
        <v>27141489.528199445</v>
      </c>
      <c r="H8" s="8">
        <f t="shared" si="3"/>
        <v>27095681.261537902</v>
      </c>
      <c r="I8" s="8">
        <f t="shared" si="3"/>
        <v>27075058.694750536</v>
      </c>
      <c r="J8" s="8">
        <f t="shared" si="3"/>
        <v>27067444.80930024</v>
      </c>
      <c r="K8" s="8">
        <f t="shared" si="3"/>
        <v>27089272.849841673</v>
      </c>
      <c r="L8" s="8">
        <f t="shared" si="3"/>
        <v>27166027.495855108</v>
      </c>
      <c r="M8" s="8">
        <f t="shared" si="3"/>
        <v>27313926.386332612</v>
      </c>
    </row>
    <row r="11" spans="1:13" ht="15.6">
      <c r="A11" s="32" t="s">
        <v>152</v>
      </c>
    </row>
    <row r="12" spans="1:13">
      <c r="A12" s="22" t="s">
        <v>178</v>
      </c>
      <c r="B12" s="33">
        <f>SUM(B4:M4)</f>
        <v>-2486073.6136673875</v>
      </c>
    </row>
    <row r="13" spans="1:13">
      <c r="A13" s="22" t="s">
        <v>179</v>
      </c>
      <c r="B13" s="33">
        <f>SUM(B6:M6)</f>
        <v>-686073.61366738775</v>
      </c>
    </row>
    <row r="14" spans="1:13">
      <c r="A14" s="22" t="s">
        <v>180</v>
      </c>
      <c r="B14" s="33">
        <f>AVERAGE(B6:M6)</f>
        <v>-57172.801138948977</v>
      </c>
    </row>
    <row r="15" spans="1:13">
      <c r="A15" s="22" t="s">
        <v>181</v>
      </c>
      <c r="B15">
        <f>B7</f>
        <v>28000000</v>
      </c>
    </row>
    <row r="16" spans="1:13">
      <c r="A16" s="22" t="s">
        <v>177</v>
      </c>
      <c r="B16" s="33">
        <f>B8</f>
        <v>27809906.675749317</v>
      </c>
    </row>
    <row r="17" spans="1:2">
      <c r="A17" s="22" t="s">
        <v>182</v>
      </c>
      <c r="B17" t="s">
        <v>183</v>
      </c>
    </row>
    <row r="20" spans="1:2">
      <c r="A20" t="s">
        <v>184</v>
      </c>
    </row>
    <row r="22" spans="1:2">
      <c r="A22" s="37" t="s">
        <v>185</v>
      </c>
    </row>
    <row r="23" spans="1:2">
      <c r="A23" s="37" t="s">
        <v>186</v>
      </c>
    </row>
    <row r="24" spans="1:2">
      <c r="A24" s="37" t="s">
        <v>187</v>
      </c>
    </row>
    <row r="25" spans="1:2" ht="28.8">
      <c r="A25" s="37" t="s">
        <v>188</v>
      </c>
    </row>
    <row r="26" spans="1:2" ht="28.8">
      <c r="A26" s="37" t="s">
        <v>189</v>
      </c>
    </row>
  </sheetData>
  <phoneticPr fontId="2"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B9E27-5041-4247-AB88-43F2098B9A9C}">
  <dimension ref="A1:O59"/>
  <sheetViews>
    <sheetView zoomScale="66" zoomScaleNormal="100" workbookViewId="0">
      <pane ySplit="1" topLeftCell="A29" activePane="bottomLeft" state="frozen"/>
      <selection pane="bottomLeft" activeCell="N5" sqref="N5"/>
    </sheetView>
  </sheetViews>
  <sheetFormatPr defaultRowHeight="14.4"/>
  <cols>
    <col min="1" max="2" width="28.109375" customWidth="1"/>
    <col min="3" max="3" width="20.44140625" customWidth="1"/>
    <col min="4" max="4" width="16.21875" customWidth="1"/>
    <col min="5" max="5" width="17.21875" customWidth="1"/>
    <col min="6" max="6" width="17.6640625" customWidth="1"/>
    <col min="7" max="7" width="19.33203125" customWidth="1"/>
    <col min="8" max="8" width="16.109375" customWidth="1"/>
    <col min="9" max="9" width="17.5546875" customWidth="1"/>
    <col min="10" max="10" width="18.109375" customWidth="1"/>
    <col min="11" max="11" width="22.77734375" customWidth="1"/>
    <col min="12" max="12" width="16.109375" customWidth="1"/>
    <col min="13" max="13" width="16" customWidth="1"/>
    <col min="14" max="14" width="18.21875" customWidth="1"/>
    <col min="15" max="15" width="15.44140625" customWidth="1"/>
  </cols>
  <sheetData>
    <row r="1" spans="1:15" ht="15.6">
      <c r="A1" s="38" t="s">
        <v>219</v>
      </c>
      <c r="B1" s="38" t="s">
        <v>237</v>
      </c>
      <c r="C1" s="14" t="s">
        <v>6</v>
      </c>
      <c r="D1" s="14" t="s">
        <v>7</v>
      </c>
      <c r="E1" s="14" t="s">
        <v>8</v>
      </c>
      <c r="F1" s="14" t="s">
        <v>9</v>
      </c>
      <c r="G1" s="14" t="s">
        <v>10</v>
      </c>
      <c r="H1" s="14" t="s">
        <v>11</v>
      </c>
      <c r="I1" s="14" t="s">
        <v>12</v>
      </c>
      <c r="J1" s="14" t="s">
        <v>13</v>
      </c>
      <c r="K1" s="14" t="s">
        <v>14</v>
      </c>
      <c r="L1" s="14" t="s">
        <v>15</v>
      </c>
      <c r="M1" s="14" t="s">
        <v>16</v>
      </c>
      <c r="N1" s="14" t="s">
        <v>17</v>
      </c>
      <c r="O1" s="14" t="s">
        <v>220</v>
      </c>
    </row>
    <row r="2" spans="1:15">
      <c r="A2" s="22" t="s">
        <v>172</v>
      </c>
      <c r="B2" s="22"/>
      <c r="C2" s="8">
        <f>Rev_Build!B16</f>
        <v>2037333.3333333333</v>
      </c>
      <c r="D2" s="8">
        <f>Rev_Build!C16</f>
        <v>2074928</v>
      </c>
      <c r="E2" s="8">
        <f>Rev_Build!D16</f>
        <v>2112785.8293333333</v>
      </c>
      <c r="F2" s="8">
        <f>Rev_Build!E16</f>
        <v>2152075.3301386666</v>
      </c>
      <c r="G2" s="8">
        <f>Rev_Build!F16</f>
        <v>2192864.8574496373</v>
      </c>
      <c r="H2" s="8">
        <f>Rev_Build!G16</f>
        <v>2235226.1614517849</v>
      </c>
      <c r="I2" s="8">
        <f>Rev_Build!H16</f>
        <v>2279234.5570819476</v>
      </c>
      <c r="J2" s="8">
        <f>Rev_Build!I16</f>
        <v>2324969.1021065209</v>
      </c>
      <c r="K2" s="8">
        <f>Rev_Build!J16</f>
        <v>2372512.7841025167</v>
      </c>
      <c r="L2" s="8">
        <f>Rev_Build!K16</f>
        <v>2421952.7167865471</v>
      </c>
      <c r="M2" s="8">
        <f>Rev_Build!L16</f>
        <v>2473380.3461591308</v>
      </c>
      <c r="N2" s="8">
        <f>Rev_Build!M16</f>
        <v>2526891.6669550766</v>
      </c>
      <c r="O2" s="8">
        <f>SUM(C2:N2)</f>
        <v>27204154.684898496</v>
      </c>
    </row>
    <row r="3" spans="1:15">
      <c r="A3" s="22" t="s">
        <v>138</v>
      </c>
      <c r="B3" s="22"/>
      <c r="C3">
        <f>OpEx_Budget!B24</f>
        <v>374541.32606721163</v>
      </c>
      <c r="D3">
        <f>OpEx_Budget!C24</f>
        <v>372612.57947320613</v>
      </c>
      <c r="E3">
        <f>OpEx_Budget!D24</f>
        <v>388414.29200726614</v>
      </c>
      <c r="F3">
        <f>OpEx_Budget!E24</f>
        <v>386346.81575386011</v>
      </c>
      <c r="G3">
        <f>OpEx_Budget!F24</f>
        <v>384300.01426298817</v>
      </c>
      <c r="H3">
        <f>OpEx_Budget!G24</f>
        <v>399984.85244915035</v>
      </c>
      <c r="I3">
        <f>OpEx_Budget!H24</f>
        <v>397801.67059132544</v>
      </c>
      <c r="J3">
        <f>OpEx_Budget!I24</f>
        <v>395640.32055207895</v>
      </c>
      <c r="K3">
        <f>OpEx_Budget!J24</f>
        <v>411211.75567535014</v>
      </c>
      <c r="L3">
        <f>OpEx_Budget!K24</f>
        <v>408916.30478526332</v>
      </c>
      <c r="M3">
        <f>OpEx_Budget!L24</f>
        <v>406643.80840407737</v>
      </c>
      <c r="N3">
        <f>OpEx_Budget!M24</f>
        <v>404394.03698670323</v>
      </c>
      <c r="O3" s="8">
        <f t="shared" ref="O3:O10" si="0">SUM(C3:N3)</f>
        <v>4730807.7770084813</v>
      </c>
    </row>
    <row r="4" spans="1:15">
      <c r="A4" s="22" t="s">
        <v>212</v>
      </c>
      <c r="B4" s="22"/>
      <c r="C4" s="8">
        <f>C2-C3</f>
        <v>1662792.0072661217</v>
      </c>
      <c r="D4" s="8">
        <f t="shared" ref="D4:N4" si="1">D2-D3</f>
        <v>1702315.4205267939</v>
      </c>
      <c r="E4" s="8">
        <f t="shared" si="1"/>
        <v>1724371.5373260672</v>
      </c>
      <c r="F4" s="8">
        <f t="shared" si="1"/>
        <v>1765728.5143848064</v>
      </c>
      <c r="G4" s="8">
        <f t="shared" si="1"/>
        <v>1808564.843186649</v>
      </c>
      <c r="H4" s="8">
        <f t="shared" si="1"/>
        <v>1835241.3090026346</v>
      </c>
      <c r="I4" s="8">
        <f t="shared" si="1"/>
        <v>1881432.8864906221</v>
      </c>
      <c r="J4" s="8">
        <f t="shared" si="1"/>
        <v>1929328.7815544419</v>
      </c>
      <c r="K4" s="8">
        <f t="shared" si="1"/>
        <v>1961301.0284271666</v>
      </c>
      <c r="L4" s="8">
        <f t="shared" si="1"/>
        <v>2013036.4120012838</v>
      </c>
      <c r="M4" s="8">
        <f t="shared" si="1"/>
        <v>2066736.5377550535</v>
      </c>
      <c r="N4" s="8">
        <f t="shared" si="1"/>
        <v>2122497.6299683736</v>
      </c>
      <c r="O4" s="8">
        <f t="shared" si="0"/>
        <v>22473346.907890018</v>
      </c>
    </row>
    <row r="5" spans="1:15">
      <c r="A5" s="22" t="s">
        <v>213</v>
      </c>
      <c r="B5" s="22"/>
      <c r="C5" s="27">
        <f>C4/C2</f>
        <v>0.8161609983308844</v>
      </c>
      <c r="D5" s="27">
        <f t="shared" ref="D5:N5" si="2">D4/D2</f>
        <v>0.82042144138340889</v>
      </c>
      <c r="E5" s="27">
        <f t="shared" si="2"/>
        <v>0.81616012062622267</v>
      </c>
      <c r="F5" s="27">
        <f t="shared" si="2"/>
        <v>0.82047709467076768</v>
      </c>
      <c r="G5" s="27">
        <f t="shared" si="2"/>
        <v>0.82474979570335227</v>
      </c>
      <c r="H5" s="27">
        <f t="shared" si="2"/>
        <v>0.82105396789497165</v>
      </c>
      <c r="I5" s="27">
        <f t="shared" si="2"/>
        <v>0.82546698875054703</v>
      </c>
      <c r="J5" s="27">
        <f t="shared" si="2"/>
        <v>0.82982985873076243</v>
      </c>
      <c r="K5" s="27">
        <f t="shared" si="2"/>
        <v>0.82667669551424361</v>
      </c>
      <c r="L5" s="27">
        <f t="shared" si="2"/>
        <v>0.83116255658045446</v>
      </c>
      <c r="M5" s="27">
        <f t="shared" si="2"/>
        <v>0.83559188175989696</v>
      </c>
      <c r="N5" s="27">
        <f t="shared" si="2"/>
        <v>0.83996384084245257</v>
      </c>
      <c r="O5" s="27">
        <f t="shared" si="0"/>
        <v>9.9077152407879634</v>
      </c>
    </row>
    <row r="6" spans="1:15">
      <c r="A6" s="22" t="s">
        <v>214</v>
      </c>
      <c r="B6" s="22"/>
      <c r="C6">
        <f>SUM(OpEx_Budget!B25:B27)</f>
        <v>2002885.331516803</v>
      </c>
      <c r="D6">
        <f>SUM(OpEx_Budget!C25:C27)</f>
        <v>2026339.0849227975</v>
      </c>
      <c r="E6">
        <f>SUM(OpEx_Budget!D25:D27)</f>
        <v>2035707.2562897366</v>
      </c>
      <c r="F6">
        <f>SUM(OpEx_Budget!E25:E27)</f>
        <v>2045867.3045261127</v>
      </c>
      <c r="G6">
        <f>SUM(OpEx_Budget!F25:F27)</f>
        <v>2068891.238202014</v>
      </c>
      <c r="H6">
        <f>SUM(OpEx_Budget!G25:G27)</f>
        <v>2077833.8880361612</v>
      </c>
      <c r="I6">
        <f>SUM(OpEx_Budget!H25:H27)</f>
        <v>2077241.1531521662</v>
      </c>
      <c r="J6">
        <f>SUM(OpEx_Budget!I25:I27)</f>
        <v>2099951.3483418077</v>
      </c>
      <c r="K6">
        <f>SUM(OpEx_Budget!J25:J27)</f>
        <v>2118914.913877463</v>
      </c>
      <c r="L6">
        <f>SUM(OpEx_Budget!K25:K27)</f>
        <v>2141208.3714598506</v>
      </c>
      <c r="M6">
        <f>SUM(OpEx_Budget!L25:L27)</f>
        <v>2139981.8917416194</v>
      </c>
      <c r="N6">
        <f>SUM(OpEx_Budget!M25:M27)</f>
        <v>2124598.7394908699</v>
      </c>
      <c r="O6" s="8">
        <f t="shared" si="0"/>
        <v>24959420.521557402</v>
      </c>
    </row>
    <row r="7" spans="1:15">
      <c r="A7" s="22" t="s">
        <v>215</v>
      </c>
      <c r="B7" s="22"/>
      <c r="C7" s="8">
        <f>C4-C6</f>
        <v>-340093.32425068133</v>
      </c>
      <c r="D7" s="8">
        <f t="shared" ref="D7:M7" si="3">D4-D6</f>
        <v>-324023.66439600359</v>
      </c>
      <c r="E7" s="8">
        <f t="shared" si="3"/>
        <v>-311335.71896366938</v>
      </c>
      <c r="F7" s="8">
        <f t="shared" si="3"/>
        <v>-280138.79014130635</v>
      </c>
      <c r="G7" s="8">
        <f t="shared" si="3"/>
        <v>-260326.39501536498</v>
      </c>
      <c r="H7" s="8">
        <f t="shared" si="3"/>
        <v>-242592.57903352659</v>
      </c>
      <c r="I7" s="8">
        <f t="shared" si="3"/>
        <v>-195808.2666615441</v>
      </c>
      <c r="J7" s="8">
        <f t="shared" si="3"/>
        <v>-170622.56678736582</v>
      </c>
      <c r="K7" s="8">
        <f t="shared" si="3"/>
        <v>-157613.88545029634</v>
      </c>
      <c r="L7" s="8">
        <f t="shared" si="3"/>
        <v>-128171.95945856674</v>
      </c>
      <c r="M7" s="8">
        <f t="shared" si="3"/>
        <v>-73245.353986565955</v>
      </c>
      <c r="N7" s="8">
        <f>N4-N6</f>
        <v>-2101.1095224963501</v>
      </c>
      <c r="O7" s="8">
        <f t="shared" si="0"/>
        <v>-2486073.613667387</v>
      </c>
    </row>
    <row r="8" spans="1:15">
      <c r="A8" s="22" t="s">
        <v>216</v>
      </c>
      <c r="B8" s="22"/>
      <c r="C8">
        <f>150000</f>
        <v>150000</v>
      </c>
      <c r="D8">
        <f t="shared" ref="D8:N8" si="4">150000</f>
        <v>150000</v>
      </c>
      <c r="E8">
        <f t="shared" si="4"/>
        <v>150000</v>
      </c>
      <c r="F8">
        <f t="shared" si="4"/>
        <v>150000</v>
      </c>
      <c r="G8">
        <f t="shared" si="4"/>
        <v>150000</v>
      </c>
      <c r="H8">
        <f t="shared" si="4"/>
        <v>150000</v>
      </c>
      <c r="I8">
        <f t="shared" si="4"/>
        <v>150000</v>
      </c>
      <c r="J8">
        <f t="shared" si="4"/>
        <v>150000</v>
      </c>
      <c r="K8">
        <f t="shared" si="4"/>
        <v>150000</v>
      </c>
      <c r="L8">
        <f t="shared" si="4"/>
        <v>150000</v>
      </c>
      <c r="M8">
        <f t="shared" si="4"/>
        <v>150000</v>
      </c>
      <c r="N8">
        <f t="shared" si="4"/>
        <v>150000</v>
      </c>
      <c r="O8" s="8">
        <f t="shared" si="0"/>
        <v>1800000</v>
      </c>
    </row>
    <row r="9" spans="1:15">
      <c r="A9" s="22" t="s">
        <v>217</v>
      </c>
      <c r="B9" s="22"/>
      <c r="C9" s="8">
        <f>C7-C8</f>
        <v>-490093.32425068133</v>
      </c>
      <c r="D9" s="8">
        <f t="shared" ref="D9:M9" si="5">D7-D8</f>
        <v>-474023.66439600359</v>
      </c>
      <c r="E9" s="8">
        <f t="shared" si="5"/>
        <v>-461335.71896366938</v>
      </c>
      <c r="F9" s="8">
        <f t="shared" si="5"/>
        <v>-430138.79014130635</v>
      </c>
      <c r="G9" s="8">
        <f t="shared" si="5"/>
        <v>-410326.39501536498</v>
      </c>
      <c r="H9" s="8">
        <f t="shared" si="5"/>
        <v>-392592.57903352659</v>
      </c>
      <c r="I9" s="8">
        <f t="shared" si="5"/>
        <v>-345808.2666615441</v>
      </c>
      <c r="J9" s="8">
        <f t="shared" si="5"/>
        <v>-320622.56678736582</v>
      </c>
      <c r="K9" s="8">
        <f t="shared" si="5"/>
        <v>-307613.88545029634</v>
      </c>
      <c r="L9" s="8">
        <f t="shared" si="5"/>
        <v>-278171.95945856674</v>
      </c>
      <c r="M9" s="8">
        <f t="shared" si="5"/>
        <v>-223245.35398656595</v>
      </c>
      <c r="N9" s="8">
        <f>N7-N8</f>
        <v>-152101.10952249635</v>
      </c>
      <c r="O9" s="8">
        <f t="shared" si="0"/>
        <v>-4286073.6136673875</v>
      </c>
    </row>
    <row r="10" spans="1:15">
      <c r="A10" s="22" t="s">
        <v>218</v>
      </c>
      <c r="B10" s="22"/>
      <c r="C10" s="8">
        <f>C9</f>
        <v>-490093.32425068133</v>
      </c>
      <c r="D10" s="8">
        <f t="shared" ref="D10:N10" si="6">D9</f>
        <v>-474023.66439600359</v>
      </c>
      <c r="E10" s="8">
        <f t="shared" si="6"/>
        <v>-461335.71896366938</v>
      </c>
      <c r="F10" s="8">
        <f t="shared" si="6"/>
        <v>-430138.79014130635</v>
      </c>
      <c r="G10" s="8">
        <f t="shared" si="6"/>
        <v>-410326.39501536498</v>
      </c>
      <c r="H10" s="8">
        <f t="shared" si="6"/>
        <v>-392592.57903352659</v>
      </c>
      <c r="I10" s="8">
        <f t="shared" si="6"/>
        <v>-345808.2666615441</v>
      </c>
      <c r="J10" s="8">
        <f t="shared" si="6"/>
        <v>-320622.56678736582</v>
      </c>
      <c r="K10" s="8">
        <f t="shared" si="6"/>
        <v>-307613.88545029634</v>
      </c>
      <c r="L10" s="8">
        <f t="shared" si="6"/>
        <v>-278171.95945856674</v>
      </c>
      <c r="M10" s="8">
        <f t="shared" si="6"/>
        <v>-223245.35398656595</v>
      </c>
      <c r="N10" s="8">
        <f t="shared" si="6"/>
        <v>-152101.10952249635</v>
      </c>
      <c r="O10" s="8">
        <f t="shared" si="0"/>
        <v>-4286073.6136673875</v>
      </c>
    </row>
    <row r="13" spans="1:15">
      <c r="A13" s="22"/>
      <c r="B13" s="22"/>
    </row>
    <row r="14" spans="1:15">
      <c r="A14" t="s">
        <v>221</v>
      </c>
    </row>
    <row r="16" spans="1:15">
      <c r="A16" t="s">
        <v>222</v>
      </c>
    </row>
    <row r="17" spans="1:15">
      <c r="A17" t="s">
        <v>223</v>
      </c>
      <c r="B17">
        <v>28000000</v>
      </c>
      <c r="C17" s="8">
        <f>C59</f>
        <v>28442986.666666668</v>
      </c>
      <c r="D17" s="8">
        <f>D59</f>
        <v>28148887.582415987</v>
      </c>
      <c r="E17" s="8">
        <f t="shared" ref="E17:N17" si="7">E59</f>
        <v>27873886.784366649</v>
      </c>
      <c r="F17" s="8">
        <f t="shared" si="7"/>
        <v>27614717.091814071</v>
      </c>
      <c r="G17" s="8">
        <f t="shared" si="7"/>
        <v>27390007.490268737</v>
      </c>
      <c r="H17" s="8">
        <f t="shared" si="7"/>
        <v>27188499.188169513</v>
      </c>
      <c r="I17" s="8">
        <f t="shared" si="7"/>
        <v>27008245.373702541</v>
      </c>
      <c r="J17" s="8">
        <f t="shared" si="7"/>
        <v>26878434.635209519</v>
      </c>
      <c r="K17" s="8">
        <f t="shared" si="7"/>
        <v>26777613.091150355</v>
      </c>
      <c r="L17" s="8">
        <f t="shared" si="7"/>
        <v>26693755.423042983</v>
      </c>
      <c r="M17" s="8">
        <f t="shared" si="7"/>
        <v>26643453.891277146</v>
      </c>
      <c r="N17" s="8">
        <f t="shared" si="7"/>
        <v>26652359.870646987</v>
      </c>
      <c r="O17" s="8"/>
    </row>
    <row r="18" spans="1:15">
      <c r="A18" t="s">
        <v>224</v>
      </c>
      <c r="B18">
        <v>2200000</v>
      </c>
      <c r="C18" s="8">
        <f>C2</f>
        <v>2037333.3333333333</v>
      </c>
      <c r="D18" s="8">
        <f t="shared" ref="D18:N18" si="8">D2</f>
        <v>2074928</v>
      </c>
      <c r="E18" s="8">
        <f t="shared" si="8"/>
        <v>2112785.8293333333</v>
      </c>
      <c r="F18" s="8">
        <f t="shared" si="8"/>
        <v>2152075.3301386666</v>
      </c>
      <c r="G18" s="8">
        <f t="shared" si="8"/>
        <v>2192864.8574496373</v>
      </c>
      <c r="H18" s="8">
        <f t="shared" si="8"/>
        <v>2235226.1614517849</v>
      </c>
      <c r="I18" s="8">
        <f t="shared" si="8"/>
        <v>2279234.5570819476</v>
      </c>
      <c r="J18" s="8">
        <f t="shared" si="8"/>
        <v>2324969.1021065209</v>
      </c>
      <c r="K18" s="8">
        <f t="shared" si="8"/>
        <v>2372512.7841025167</v>
      </c>
      <c r="L18" s="8">
        <f t="shared" si="8"/>
        <v>2421952.7167865471</v>
      </c>
      <c r="M18" s="8">
        <f t="shared" si="8"/>
        <v>2473380.3461591308</v>
      </c>
      <c r="N18" s="8">
        <f t="shared" si="8"/>
        <v>2526891.6669550766</v>
      </c>
    </row>
    <row r="19" spans="1:15">
      <c r="A19" t="s">
        <v>225</v>
      </c>
      <c r="B19">
        <v>3500000</v>
      </c>
      <c r="C19">
        <f>B19+120000-150000</f>
        <v>3470000</v>
      </c>
      <c r="D19">
        <f>C19+120000-150000</f>
        <v>3440000</v>
      </c>
      <c r="E19">
        <f>D19+120000-150000</f>
        <v>3410000</v>
      </c>
      <c r="F19">
        <f t="shared" ref="F19:N19" si="9">E19+120000-150000</f>
        <v>3380000</v>
      </c>
      <c r="G19">
        <f t="shared" si="9"/>
        <v>3350000</v>
      </c>
      <c r="H19">
        <f t="shared" si="9"/>
        <v>3320000</v>
      </c>
      <c r="I19">
        <f t="shared" si="9"/>
        <v>3290000</v>
      </c>
      <c r="J19">
        <f t="shared" si="9"/>
        <v>3260000</v>
      </c>
      <c r="K19">
        <f t="shared" si="9"/>
        <v>3230000</v>
      </c>
      <c r="L19">
        <f t="shared" si="9"/>
        <v>3200000</v>
      </c>
      <c r="M19">
        <f t="shared" si="9"/>
        <v>3170000</v>
      </c>
      <c r="N19">
        <f t="shared" si="9"/>
        <v>3140000</v>
      </c>
    </row>
    <row r="20" spans="1:15">
      <c r="A20" t="s">
        <v>226</v>
      </c>
    </row>
    <row r="21" spans="1:15">
      <c r="A21" t="s">
        <v>227</v>
      </c>
      <c r="B21">
        <f>SUM(B17:B19)</f>
        <v>33700000</v>
      </c>
      <c r="C21" s="8">
        <f>SUM(C17:C19)</f>
        <v>33950320</v>
      </c>
      <c r="D21" s="8">
        <f t="shared" ref="D21:N21" si="10">SUM(D17:D19)</f>
        <v>33663815.582415983</v>
      </c>
      <c r="E21" s="8">
        <f t="shared" si="10"/>
        <v>33396672.61369998</v>
      </c>
      <c r="F21" s="8">
        <f t="shared" si="10"/>
        <v>33146792.421952739</v>
      </c>
      <c r="G21" s="8">
        <f t="shared" si="10"/>
        <v>32932872.347718373</v>
      </c>
      <c r="H21" s="8">
        <f t="shared" si="10"/>
        <v>32743725.349621296</v>
      </c>
      <c r="I21" s="8">
        <f t="shared" si="10"/>
        <v>32577479.93078449</v>
      </c>
      <c r="J21" s="8">
        <f t="shared" si="10"/>
        <v>32463403.737316042</v>
      </c>
      <c r="K21" s="8">
        <f t="shared" si="10"/>
        <v>32380125.875252873</v>
      </c>
      <c r="L21" s="8">
        <f t="shared" si="10"/>
        <v>32315708.139829531</v>
      </c>
      <c r="M21" s="8">
        <f t="shared" si="10"/>
        <v>32286834.237436276</v>
      </c>
      <c r="N21" s="8">
        <f t="shared" si="10"/>
        <v>32319251.537602063</v>
      </c>
    </row>
    <row r="23" spans="1:15">
      <c r="A23" t="s">
        <v>228</v>
      </c>
    </row>
    <row r="24" spans="1:15">
      <c r="A24" t="s">
        <v>229</v>
      </c>
      <c r="B24">
        <v>1800000</v>
      </c>
      <c r="C24">
        <f>C3+C6</f>
        <v>2377426.6575840148</v>
      </c>
      <c r="D24">
        <f>D3+D6</f>
        <v>2398951.6643960038</v>
      </c>
      <c r="E24">
        <f t="shared" ref="E24:N24" si="11">E3+E6</f>
        <v>2424121.5482970029</v>
      </c>
      <c r="F24">
        <f t="shared" si="11"/>
        <v>2432214.1202799729</v>
      </c>
      <c r="G24">
        <f t="shared" si="11"/>
        <v>2453191.2524650022</v>
      </c>
      <c r="H24">
        <f t="shared" si="11"/>
        <v>2477818.7404853115</v>
      </c>
      <c r="I24">
        <f t="shared" si="11"/>
        <v>2475042.8237434914</v>
      </c>
      <c r="J24">
        <f t="shared" si="11"/>
        <v>2495591.6688938867</v>
      </c>
      <c r="K24">
        <f t="shared" si="11"/>
        <v>2530126.6695528133</v>
      </c>
      <c r="L24">
        <f>L3+L6</f>
        <v>2550124.6762451138</v>
      </c>
      <c r="M24">
        <f t="shared" si="11"/>
        <v>2546625.7001456968</v>
      </c>
      <c r="N24">
        <f t="shared" si="11"/>
        <v>2528992.776477573</v>
      </c>
    </row>
    <row r="25" spans="1:15">
      <c r="A25" t="s">
        <v>230</v>
      </c>
      <c r="B25">
        <v>9600000</v>
      </c>
      <c r="C25" s="8">
        <f>B25 + (C2*8%)</f>
        <v>9762986.666666666</v>
      </c>
      <c r="D25" s="8">
        <f t="shared" ref="D25:N25" si="12">C25 + (D2*8%)</f>
        <v>9928980.9066666663</v>
      </c>
      <c r="E25" s="8">
        <f t="shared" si="12"/>
        <v>10098003.773013333</v>
      </c>
      <c r="F25" s="8">
        <f t="shared" si="12"/>
        <v>10270169.799424427</v>
      </c>
      <c r="G25" s="8">
        <f t="shared" si="12"/>
        <v>10445598.988020398</v>
      </c>
      <c r="H25" s="8">
        <f t="shared" si="12"/>
        <v>10624417.08093654</v>
      </c>
      <c r="I25" s="8">
        <f t="shared" si="12"/>
        <v>10806755.845503096</v>
      </c>
      <c r="J25" s="8">
        <f t="shared" si="12"/>
        <v>10992753.373671617</v>
      </c>
      <c r="K25" s="8">
        <f t="shared" si="12"/>
        <v>11182554.396399818</v>
      </c>
      <c r="L25" s="8">
        <f t="shared" si="12"/>
        <v>11376310.613742743</v>
      </c>
      <c r="M25" s="8">
        <f t="shared" si="12"/>
        <v>11574181.041435473</v>
      </c>
      <c r="N25" s="8">
        <f t="shared" si="12"/>
        <v>11776332.374791879</v>
      </c>
    </row>
    <row r="26" spans="1:15">
      <c r="A26" t="s">
        <v>226</v>
      </c>
    </row>
    <row r="27" spans="1:15">
      <c r="A27" t="s">
        <v>231</v>
      </c>
      <c r="B27">
        <f>SUM(B24:B25)</f>
        <v>11400000</v>
      </c>
      <c r="C27">
        <f>SUM(C24:C25)</f>
        <v>12140413.324250681</v>
      </c>
      <c r="D27">
        <f t="shared" ref="D27:N27" si="13">SUM(D24:D25)</f>
        <v>12327932.571062669</v>
      </c>
      <c r="E27">
        <f t="shared" si="13"/>
        <v>12522125.321310336</v>
      </c>
      <c r="F27">
        <f t="shared" si="13"/>
        <v>12702383.9197044</v>
      </c>
      <c r="G27">
        <f t="shared" si="13"/>
        <v>12898790.2404854</v>
      </c>
      <c r="H27">
        <f t="shared" si="13"/>
        <v>13102235.82142185</v>
      </c>
      <c r="I27">
        <f t="shared" si="13"/>
        <v>13281798.669246588</v>
      </c>
      <c r="J27">
        <f t="shared" si="13"/>
        <v>13488345.042565504</v>
      </c>
      <c r="K27">
        <f t="shared" si="13"/>
        <v>13712681.065952633</v>
      </c>
      <c r="L27">
        <f t="shared" si="13"/>
        <v>13926435.289987857</v>
      </c>
      <c r="M27">
        <f t="shared" si="13"/>
        <v>14120806.74158117</v>
      </c>
      <c r="N27">
        <f t="shared" si="13"/>
        <v>14305325.151269453</v>
      </c>
    </row>
    <row r="29" spans="1:15">
      <c r="A29" t="s">
        <v>232</v>
      </c>
    </row>
    <row r="30" spans="1:15">
      <c r="A30" t="s">
        <v>233</v>
      </c>
      <c r="B30">
        <f>B21-B27-B31</f>
        <v>36300000</v>
      </c>
      <c r="C30">
        <f>B30</f>
        <v>36300000</v>
      </c>
      <c r="D30">
        <f>C30</f>
        <v>36300000</v>
      </c>
      <c r="E30">
        <f t="shared" ref="E30:N30" si="14">D30</f>
        <v>36300000</v>
      </c>
      <c r="F30">
        <f t="shared" si="14"/>
        <v>36300000</v>
      </c>
      <c r="G30">
        <f t="shared" si="14"/>
        <v>36300000</v>
      </c>
      <c r="H30">
        <f t="shared" si="14"/>
        <v>36300000</v>
      </c>
      <c r="I30">
        <f t="shared" si="14"/>
        <v>36300000</v>
      </c>
      <c r="J30">
        <f t="shared" si="14"/>
        <v>36300000</v>
      </c>
      <c r="K30">
        <f t="shared" si="14"/>
        <v>36300000</v>
      </c>
      <c r="L30">
        <f t="shared" si="14"/>
        <v>36300000</v>
      </c>
      <c r="M30">
        <f t="shared" si="14"/>
        <v>36300000</v>
      </c>
      <c r="N30">
        <f t="shared" si="14"/>
        <v>36300000</v>
      </c>
    </row>
    <row r="31" spans="1:15">
      <c r="A31" t="s">
        <v>234</v>
      </c>
      <c r="B31">
        <v>-14000000</v>
      </c>
      <c r="C31" s="8">
        <f>B31+C10</f>
        <v>-14490093.324250681</v>
      </c>
      <c r="D31" s="8">
        <f>C31+D10</f>
        <v>-14964116.988646684</v>
      </c>
      <c r="E31" s="8">
        <f t="shared" ref="E31:N31" si="15">D31+E10</f>
        <v>-15425452.707610354</v>
      </c>
      <c r="F31" s="8">
        <f t="shared" si="15"/>
        <v>-15855591.497751661</v>
      </c>
      <c r="G31" s="8">
        <f t="shared" si="15"/>
        <v>-16265917.892767025</v>
      </c>
      <c r="H31" s="8">
        <f t="shared" si="15"/>
        <v>-16658510.471800551</v>
      </c>
      <c r="I31" s="8">
        <f t="shared" si="15"/>
        <v>-17004318.738462094</v>
      </c>
      <c r="J31" s="8">
        <f t="shared" si="15"/>
        <v>-17324941.30524946</v>
      </c>
      <c r="K31" s="8">
        <f t="shared" si="15"/>
        <v>-17632555.190699756</v>
      </c>
      <c r="L31" s="8">
        <f t="shared" si="15"/>
        <v>-17910727.150158323</v>
      </c>
      <c r="M31" s="8">
        <f t="shared" si="15"/>
        <v>-18133972.504144888</v>
      </c>
      <c r="N31" s="8">
        <f t="shared" si="15"/>
        <v>-18286073.613667384</v>
      </c>
    </row>
    <row r="32" spans="1:15">
      <c r="A32" t="s">
        <v>226</v>
      </c>
      <c r="J32" s="39"/>
      <c r="K32" s="39"/>
    </row>
    <row r="33" spans="1:14">
      <c r="A33" t="s">
        <v>235</v>
      </c>
      <c r="B33">
        <f>SUM(B30:B31)</f>
        <v>22300000</v>
      </c>
      <c r="C33" s="8">
        <f>C30+C31</f>
        <v>21809906.675749317</v>
      </c>
      <c r="D33" s="8">
        <f t="shared" ref="D33:N33" si="16">D30+D31</f>
        <v>21335883.011353314</v>
      </c>
      <c r="E33" s="8">
        <f t="shared" si="16"/>
        <v>20874547.292389646</v>
      </c>
      <c r="F33" s="8">
        <f t="shared" si="16"/>
        <v>20444408.502248339</v>
      </c>
      <c r="G33" s="8">
        <f t="shared" si="16"/>
        <v>20034082.107232973</v>
      </c>
      <c r="H33" s="8">
        <f t="shared" si="16"/>
        <v>19641489.528199449</v>
      </c>
      <c r="I33" s="8">
        <f t="shared" si="16"/>
        <v>19295681.261537906</v>
      </c>
      <c r="J33" s="8">
        <f t="shared" si="16"/>
        <v>18975058.69475054</v>
      </c>
      <c r="K33" s="8">
        <f t="shared" si="16"/>
        <v>18667444.809300244</v>
      </c>
      <c r="L33" s="8">
        <f t="shared" si="16"/>
        <v>18389272.849841677</v>
      </c>
      <c r="M33" s="8">
        <f t="shared" si="16"/>
        <v>18166027.495855112</v>
      </c>
      <c r="N33" s="8">
        <f t="shared" si="16"/>
        <v>18013926.386332616</v>
      </c>
    </row>
    <row r="34" spans="1:14">
      <c r="J34" s="28"/>
      <c r="K34" s="28"/>
    </row>
    <row r="35" spans="1:14">
      <c r="A35" t="s">
        <v>236</v>
      </c>
      <c r="B35">
        <f>B21-(B27+B33)</f>
        <v>0</v>
      </c>
      <c r="C35" s="8">
        <f>C21-(C27+C33)</f>
        <v>0</v>
      </c>
      <c r="D35" s="8">
        <f t="shared" ref="D35:N35" si="17">D21-(D27+D33)</f>
        <v>0</v>
      </c>
      <c r="E35" s="8">
        <f t="shared" si="17"/>
        <v>0</v>
      </c>
      <c r="F35" s="8">
        <f t="shared" si="17"/>
        <v>0</v>
      </c>
      <c r="G35" s="8">
        <f t="shared" si="17"/>
        <v>0</v>
      </c>
      <c r="H35" s="8">
        <f t="shared" si="17"/>
        <v>0</v>
      </c>
      <c r="I35" s="8">
        <f t="shared" si="17"/>
        <v>0</v>
      </c>
      <c r="J35" s="8">
        <f t="shared" si="17"/>
        <v>0</v>
      </c>
      <c r="K35" s="8">
        <f t="shared" si="17"/>
        <v>0</v>
      </c>
      <c r="L35" s="8">
        <f t="shared" si="17"/>
        <v>0</v>
      </c>
      <c r="M35" s="8">
        <f t="shared" si="17"/>
        <v>0</v>
      </c>
      <c r="N35" s="8">
        <f t="shared" si="17"/>
        <v>0</v>
      </c>
    </row>
    <row r="36" spans="1:14">
      <c r="J36" s="28"/>
      <c r="K36" s="28"/>
    </row>
    <row r="37" spans="1:14">
      <c r="J37" s="28"/>
      <c r="K37" s="28"/>
    </row>
    <row r="38" spans="1:14">
      <c r="J38" s="28"/>
      <c r="K38" s="28"/>
    </row>
    <row r="39" spans="1:14">
      <c r="A39" s="39"/>
      <c r="B39" s="39"/>
      <c r="J39" s="28"/>
      <c r="K39" s="28"/>
    </row>
    <row r="40" spans="1:14">
      <c r="A40" s="28"/>
      <c r="B40" s="28"/>
      <c r="J40" s="28"/>
      <c r="K40" s="28"/>
    </row>
    <row r="41" spans="1:14">
      <c r="A41" s="28"/>
      <c r="B41" s="28"/>
      <c r="J41" s="28"/>
      <c r="K41" s="28"/>
    </row>
    <row r="42" spans="1:14">
      <c r="A42" s="28" t="s">
        <v>238</v>
      </c>
      <c r="B42" s="28"/>
      <c r="J42" s="28"/>
      <c r="K42" s="28"/>
    </row>
    <row r="43" spans="1:14">
      <c r="A43" s="28" t="s">
        <v>239</v>
      </c>
      <c r="B43" s="28"/>
      <c r="J43" s="28"/>
      <c r="K43" s="28"/>
    </row>
    <row r="44" spans="1:14">
      <c r="A44" s="28" t="s">
        <v>218</v>
      </c>
      <c r="B44" s="28"/>
      <c r="C44" s="8">
        <f>C10</f>
        <v>-490093.32425068133</v>
      </c>
      <c r="D44" s="8">
        <f t="shared" ref="D44:N44" si="18">D10</f>
        <v>-474023.66439600359</v>
      </c>
      <c r="E44" s="8">
        <f t="shared" si="18"/>
        <v>-461335.71896366938</v>
      </c>
      <c r="F44" s="8">
        <f t="shared" si="18"/>
        <v>-430138.79014130635</v>
      </c>
      <c r="G44" s="8">
        <f t="shared" si="18"/>
        <v>-410326.39501536498</v>
      </c>
      <c r="H44" s="8">
        <f t="shared" si="18"/>
        <v>-392592.57903352659</v>
      </c>
      <c r="I44" s="8">
        <f t="shared" si="18"/>
        <v>-345808.2666615441</v>
      </c>
      <c r="J44" s="8">
        <f t="shared" si="18"/>
        <v>-320622.56678736582</v>
      </c>
      <c r="K44" s="8">
        <f t="shared" si="18"/>
        <v>-307613.88545029634</v>
      </c>
      <c r="L44" s="8">
        <f t="shared" si="18"/>
        <v>-278171.95945856674</v>
      </c>
      <c r="M44" s="8">
        <f t="shared" si="18"/>
        <v>-223245.35398656595</v>
      </c>
      <c r="N44" s="8">
        <f t="shared" si="18"/>
        <v>-152101.10952249635</v>
      </c>
    </row>
    <row r="45" spans="1:14">
      <c r="A45" s="28" t="s">
        <v>216</v>
      </c>
      <c r="B45" s="28"/>
      <c r="C45">
        <f>C8</f>
        <v>150000</v>
      </c>
      <c r="D45">
        <f t="shared" ref="D45:N45" si="19">D8</f>
        <v>150000</v>
      </c>
      <c r="E45">
        <f t="shared" si="19"/>
        <v>150000</v>
      </c>
      <c r="F45">
        <f t="shared" si="19"/>
        <v>150000</v>
      </c>
      <c r="G45">
        <f t="shared" si="19"/>
        <v>150000</v>
      </c>
      <c r="H45">
        <f t="shared" si="19"/>
        <v>150000</v>
      </c>
      <c r="I45">
        <f t="shared" si="19"/>
        <v>150000</v>
      </c>
      <c r="J45">
        <f t="shared" si="19"/>
        <v>150000</v>
      </c>
      <c r="K45">
        <f t="shared" si="19"/>
        <v>150000</v>
      </c>
      <c r="L45">
        <f t="shared" si="19"/>
        <v>150000</v>
      </c>
      <c r="M45">
        <f t="shared" si="19"/>
        <v>150000</v>
      </c>
      <c r="N45">
        <f t="shared" si="19"/>
        <v>150000</v>
      </c>
    </row>
    <row r="46" spans="1:14">
      <c r="A46" s="28" t="s">
        <v>240</v>
      </c>
      <c r="B46" s="28"/>
      <c r="C46" s="8">
        <f>-(C18-B18)</f>
        <v>162666.66666666674</v>
      </c>
      <c r="D46" s="8">
        <f>-(D18-C18)</f>
        <v>-37594.666666666744</v>
      </c>
      <c r="E46" s="8">
        <f>-(E18-D18)</f>
        <v>-37857.829333333299</v>
      </c>
      <c r="F46" s="8">
        <f t="shared" ref="F46:N46" si="20">-(F18-E18)</f>
        <v>-39289.500805333257</v>
      </c>
      <c r="G46" s="8">
        <f t="shared" si="20"/>
        <v>-40789.527310970705</v>
      </c>
      <c r="H46" s="8">
        <f t="shared" si="20"/>
        <v>-42361.304002147634</v>
      </c>
      <c r="I46" s="8">
        <f t="shared" si="20"/>
        <v>-44008.395630162675</v>
      </c>
      <c r="J46" s="8">
        <f t="shared" si="20"/>
        <v>-45734.545024573337</v>
      </c>
      <c r="K46" s="8">
        <f t="shared" si="20"/>
        <v>-47543.681995995808</v>
      </c>
      <c r="L46" s="8">
        <f t="shared" si="20"/>
        <v>-49439.932684030384</v>
      </c>
      <c r="M46" s="8">
        <f t="shared" si="20"/>
        <v>-51427.629372583702</v>
      </c>
      <c r="N46" s="8">
        <f t="shared" si="20"/>
        <v>-53511.320795945823</v>
      </c>
    </row>
    <row r="47" spans="1:14">
      <c r="A47" s="28" t="s">
        <v>241</v>
      </c>
      <c r="B47" s="28"/>
      <c r="C47">
        <f>C24-B24</f>
        <v>577426.65758401481</v>
      </c>
      <c r="D47">
        <f t="shared" ref="D47:N47" si="21">D24-C24</f>
        <v>21525.006811989006</v>
      </c>
      <c r="E47">
        <f t="shared" si="21"/>
        <v>25169.883900999092</v>
      </c>
      <c r="F47">
        <f t="shared" si="21"/>
        <v>8092.5719829699956</v>
      </c>
      <c r="G47">
        <f t="shared" si="21"/>
        <v>20977.132185029332</v>
      </c>
      <c r="H47">
        <f t="shared" si="21"/>
        <v>24627.488020309247</v>
      </c>
      <c r="I47">
        <f t="shared" si="21"/>
        <v>-2775.9167418200523</v>
      </c>
      <c r="J47">
        <f t="shared" si="21"/>
        <v>20548.845150395297</v>
      </c>
      <c r="K47">
        <f t="shared" si="21"/>
        <v>34535.000658926554</v>
      </c>
      <c r="L47">
        <f t="shared" si="21"/>
        <v>19998.006692300551</v>
      </c>
      <c r="M47">
        <f t="shared" si="21"/>
        <v>-3498.9760994170792</v>
      </c>
      <c r="N47">
        <f t="shared" si="21"/>
        <v>-17632.923668123782</v>
      </c>
    </row>
    <row r="48" spans="1:14">
      <c r="A48" s="28" t="s">
        <v>242</v>
      </c>
      <c r="B48" s="28"/>
      <c r="C48" s="8">
        <f>C25-B25</f>
        <v>162986.66666666605</v>
      </c>
      <c r="D48" s="8">
        <f t="shared" ref="D48:N48" si="22">D25-C25</f>
        <v>165994.24000000022</v>
      </c>
      <c r="E48" s="8">
        <f t="shared" si="22"/>
        <v>169022.86634666659</v>
      </c>
      <c r="F48" s="8">
        <f t="shared" si="22"/>
        <v>172166.02641109377</v>
      </c>
      <c r="G48" s="8">
        <f t="shared" si="22"/>
        <v>175429.18859597109</v>
      </c>
      <c r="H48" s="8">
        <f t="shared" si="22"/>
        <v>178818.0929161422</v>
      </c>
      <c r="I48" s="8">
        <f t="shared" si="22"/>
        <v>182338.76456655562</v>
      </c>
      <c r="J48" s="8">
        <f t="shared" si="22"/>
        <v>185997.52816852182</v>
      </c>
      <c r="K48" s="8">
        <f t="shared" si="22"/>
        <v>189801.022728201</v>
      </c>
      <c r="L48" s="8">
        <f t="shared" si="22"/>
        <v>193756.21734292433</v>
      </c>
      <c r="M48" s="8">
        <f t="shared" si="22"/>
        <v>197870.42769272998</v>
      </c>
      <c r="N48" s="8">
        <f t="shared" si="22"/>
        <v>202151.33335640654</v>
      </c>
    </row>
    <row r="49" spans="1:14">
      <c r="A49" s="28" t="s">
        <v>243</v>
      </c>
      <c r="B49" s="28"/>
      <c r="C49" s="8">
        <f>C44+C45+C46+C47+C48</f>
        <v>562986.66666666628</v>
      </c>
      <c r="D49" s="8">
        <f>D44+D45+D46+D47+D48</f>
        <v>-174099.0842506811</v>
      </c>
      <c r="E49" s="8">
        <f t="shared" ref="E49:N49" si="23">E44+E45+E46+E47+E48</f>
        <v>-155000.798049337</v>
      </c>
      <c r="F49" s="8">
        <f t="shared" si="23"/>
        <v>-139169.69255257584</v>
      </c>
      <c r="G49" s="8">
        <f t="shared" si="23"/>
        <v>-104709.60154533526</v>
      </c>
      <c r="H49" s="8">
        <f t="shared" si="23"/>
        <v>-81508.302099222783</v>
      </c>
      <c r="I49" s="8">
        <f t="shared" si="23"/>
        <v>-60253.814466971206</v>
      </c>
      <c r="J49" s="8">
        <f t="shared" si="23"/>
        <v>-9810.7384930220433</v>
      </c>
      <c r="K49" s="8">
        <f t="shared" si="23"/>
        <v>19178.455940835411</v>
      </c>
      <c r="L49" s="8">
        <f t="shared" si="23"/>
        <v>36142.331892627757</v>
      </c>
      <c r="M49" s="8">
        <f t="shared" si="23"/>
        <v>69698.468234163243</v>
      </c>
      <c r="N49" s="8">
        <f t="shared" si="23"/>
        <v>128905.97936984058</v>
      </c>
    </row>
    <row r="50" spans="1:14">
      <c r="A50" s="28" t="s">
        <v>244</v>
      </c>
      <c r="B50" s="28"/>
      <c r="J50" s="28"/>
      <c r="K50" s="28"/>
    </row>
    <row r="51" spans="1:14">
      <c r="A51" s="28" t="s">
        <v>245</v>
      </c>
      <c r="B51" s="28"/>
      <c r="C51">
        <f>-120000</f>
        <v>-120000</v>
      </c>
      <c r="D51">
        <f t="shared" ref="D51:N51" si="24">-120000</f>
        <v>-120000</v>
      </c>
      <c r="E51">
        <f t="shared" si="24"/>
        <v>-120000</v>
      </c>
      <c r="F51">
        <f t="shared" si="24"/>
        <v>-120000</v>
      </c>
      <c r="G51">
        <f t="shared" si="24"/>
        <v>-120000</v>
      </c>
      <c r="H51">
        <f t="shared" si="24"/>
        <v>-120000</v>
      </c>
      <c r="I51">
        <f t="shared" si="24"/>
        <v>-120000</v>
      </c>
      <c r="J51">
        <f t="shared" si="24"/>
        <v>-120000</v>
      </c>
      <c r="K51">
        <f t="shared" si="24"/>
        <v>-120000</v>
      </c>
      <c r="L51">
        <f t="shared" si="24"/>
        <v>-120000</v>
      </c>
      <c r="M51">
        <f t="shared" si="24"/>
        <v>-120000</v>
      </c>
      <c r="N51">
        <f t="shared" si="24"/>
        <v>-120000</v>
      </c>
    </row>
    <row r="52" spans="1:14">
      <c r="A52" s="28" t="s">
        <v>246</v>
      </c>
      <c r="B52" s="28"/>
      <c r="C52">
        <f>C51</f>
        <v>-120000</v>
      </c>
      <c r="D52">
        <f t="shared" ref="D52:N52" si="25">D51</f>
        <v>-120000</v>
      </c>
      <c r="E52">
        <f t="shared" si="25"/>
        <v>-120000</v>
      </c>
      <c r="F52">
        <f t="shared" si="25"/>
        <v>-120000</v>
      </c>
      <c r="G52">
        <f t="shared" si="25"/>
        <v>-120000</v>
      </c>
      <c r="H52">
        <f t="shared" si="25"/>
        <v>-120000</v>
      </c>
      <c r="I52">
        <f t="shared" si="25"/>
        <v>-120000</v>
      </c>
      <c r="J52">
        <f t="shared" si="25"/>
        <v>-120000</v>
      </c>
      <c r="K52">
        <f t="shared" si="25"/>
        <v>-120000</v>
      </c>
      <c r="L52">
        <f t="shared" si="25"/>
        <v>-120000</v>
      </c>
      <c r="M52">
        <f t="shared" si="25"/>
        <v>-120000</v>
      </c>
      <c r="N52">
        <f t="shared" si="25"/>
        <v>-120000</v>
      </c>
    </row>
    <row r="53" spans="1:14">
      <c r="A53" s="28" t="s">
        <v>247</v>
      </c>
      <c r="B53" s="28"/>
    </row>
    <row r="54" spans="1:14">
      <c r="A54" s="28" t="s">
        <v>248</v>
      </c>
      <c r="B54" s="28"/>
      <c r="C54">
        <v>0</v>
      </c>
      <c r="D54">
        <v>0</v>
      </c>
      <c r="E54">
        <v>0</v>
      </c>
      <c r="F54">
        <v>0</v>
      </c>
      <c r="G54">
        <v>0</v>
      </c>
      <c r="H54">
        <v>0</v>
      </c>
      <c r="I54">
        <v>0</v>
      </c>
      <c r="J54">
        <v>0</v>
      </c>
      <c r="K54">
        <v>0</v>
      </c>
      <c r="L54">
        <v>0</v>
      </c>
      <c r="M54">
        <v>0</v>
      </c>
      <c r="N54">
        <v>0</v>
      </c>
    </row>
    <row r="55" spans="1:14">
      <c r="A55" s="28" t="s">
        <v>249</v>
      </c>
      <c r="B55" s="28"/>
      <c r="C55">
        <v>0</v>
      </c>
      <c r="D55">
        <v>0</v>
      </c>
      <c r="E55">
        <v>0</v>
      </c>
      <c r="F55">
        <v>0</v>
      </c>
      <c r="G55">
        <v>0</v>
      </c>
      <c r="H55">
        <v>0</v>
      </c>
      <c r="I55">
        <v>0</v>
      </c>
      <c r="J55">
        <v>0</v>
      </c>
      <c r="K55">
        <v>0</v>
      </c>
      <c r="L55">
        <v>0</v>
      </c>
      <c r="M55">
        <v>0</v>
      </c>
      <c r="N55">
        <v>0</v>
      </c>
    </row>
    <row r="56" spans="1:14">
      <c r="A56" s="28" t="s">
        <v>250</v>
      </c>
      <c r="B56" s="28"/>
      <c r="C56">
        <f>C54+C55</f>
        <v>0</v>
      </c>
      <c r="D56">
        <f t="shared" ref="D56:N56" si="26">D54+D55</f>
        <v>0</v>
      </c>
      <c r="E56">
        <f t="shared" si="26"/>
        <v>0</v>
      </c>
      <c r="F56">
        <f t="shared" si="26"/>
        <v>0</v>
      </c>
      <c r="G56">
        <f t="shared" si="26"/>
        <v>0</v>
      </c>
      <c r="H56">
        <f t="shared" si="26"/>
        <v>0</v>
      </c>
      <c r="I56">
        <f t="shared" si="26"/>
        <v>0</v>
      </c>
      <c r="J56">
        <f t="shared" si="26"/>
        <v>0</v>
      </c>
      <c r="K56">
        <f t="shared" si="26"/>
        <v>0</v>
      </c>
      <c r="L56">
        <f t="shared" si="26"/>
        <v>0</v>
      </c>
      <c r="M56">
        <f t="shared" si="26"/>
        <v>0</v>
      </c>
      <c r="N56">
        <f t="shared" si="26"/>
        <v>0</v>
      </c>
    </row>
    <row r="57" spans="1:14">
      <c r="A57" s="28" t="s">
        <v>251</v>
      </c>
      <c r="B57" s="28"/>
      <c r="C57" s="40">
        <f>C49+C52+C56</f>
        <v>442986.66666666628</v>
      </c>
      <c r="D57" s="40">
        <f t="shared" ref="D57:N57" si="27">D49+D52+D56</f>
        <v>-294099.0842506811</v>
      </c>
      <c r="E57" s="40">
        <f t="shared" si="27"/>
        <v>-275000.798049337</v>
      </c>
      <c r="F57" s="40">
        <f t="shared" si="27"/>
        <v>-259169.69255257584</v>
      </c>
      <c r="G57" s="40">
        <f t="shared" si="27"/>
        <v>-224709.60154533526</v>
      </c>
      <c r="H57" s="40">
        <f t="shared" si="27"/>
        <v>-201508.30209922278</v>
      </c>
      <c r="I57" s="40">
        <f t="shared" si="27"/>
        <v>-180253.81446697121</v>
      </c>
      <c r="J57" s="40">
        <f t="shared" si="27"/>
        <v>-129810.73849302204</v>
      </c>
      <c r="K57" s="40">
        <f t="shared" si="27"/>
        <v>-100821.54405916459</v>
      </c>
      <c r="L57" s="40">
        <f t="shared" si="27"/>
        <v>-83857.668107372243</v>
      </c>
      <c r="M57" s="40">
        <f t="shared" si="27"/>
        <v>-50301.531765836757</v>
      </c>
      <c r="N57" s="40">
        <f t="shared" si="27"/>
        <v>8905.9793698405847</v>
      </c>
    </row>
    <row r="58" spans="1:14">
      <c r="A58" s="28" t="s">
        <v>176</v>
      </c>
      <c r="C58">
        <f>B17</f>
        <v>28000000</v>
      </c>
      <c r="D58" s="8">
        <f>C59</f>
        <v>28442986.666666668</v>
      </c>
      <c r="E58" s="8">
        <f>D59</f>
        <v>28148887.582415987</v>
      </c>
      <c r="F58" s="8">
        <f>E59</f>
        <v>27873886.784366649</v>
      </c>
      <c r="G58" s="8">
        <f>F59</f>
        <v>27614717.091814071</v>
      </c>
      <c r="H58" s="8">
        <f t="shared" ref="H58:N58" si="28">G59</f>
        <v>27390007.490268737</v>
      </c>
      <c r="I58" s="8">
        <f t="shared" si="28"/>
        <v>27188499.188169513</v>
      </c>
      <c r="J58" s="8">
        <f t="shared" si="28"/>
        <v>27008245.373702541</v>
      </c>
      <c r="K58" s="8">
        <f t="shared" si="28"/>
        <v>26878434.635209519</v>
      </c>
      <c r="L58" s="8">
        <f t="shared" si="28"/>
        <v>26777613.091150355</v>
      </c>
      <c r="M58" s="8">
        <f t="shared" si="28"/>
        <v>26693755.423042983</v>
      </c>
      <c r="N58" s="8">
        <f t="shared" si="28"/>
        <v>26643453.891277146</v>
      </c>
    </row>
    <row r="59" spans="1:14">
      <c r="A59" s="28" t="s">
        <v>177</v>
      </c>
      <c r="C59" s="8">
        <f>C58+C57</f>
        <v>28442986.666666668</v>
      </c>
      <c r="D59" s="8">
        <f>D58+D57</f>
        <v>28148887.582415987</v>
      </c>
      <c r="E59" s="8">
        <f>E58+E57</f>
        <v>27873886.784366649</v>
      </c>
      <c r="F59" s="8">
        <f t="shared" ref="F59:N59" si="29">F58+F57</f>
        <v>27614717.091814071</v>
      </c>
      <c r="G59" s="8">
        <f t="shared" si="29"/>
        <v>27390007.490268737</v>
      </c>
      <c r="H59" s="8">
        <f t="shared" si="29"/>
        <v>27188499.188169513</v>
      </c>
      <c r="I59" s="8">
        <f t="shared" si="29"/>
        <v>27008245.373702541</v>
      </c>
      <c r="J59" s="8">
        <f t="shared" si="29"/>
        <v>26878434.635209519</v>
      </c>
      <c r="K59" s="8">
        <f t="shared" si="29"/>
        <v>26777613.091150355</v>
      </c>
      <c r="L59" s="8">
        <f t="shared" si="29"/>
        <v>26693755.423042983</v>
      </c>
      <c r="M59" s="8">
        <f t="shared" si="29"/>
        <v>26643453.891277146</v>
      </c>
      <c r="N59" s="8">
        <f t="shared" si="29"/>
        <v>26652359.870646987</v>
      </c>
    </row>
  </sheetData>
  <phoneticPr fontId="2"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A3928-9421-4C6A-8089-CE2A3769FE56}">
  <dimension ref="A1:N23"/>
  <sheetViews>
    <sheetView topLeftCell="G1" workbookViewId="0">
      <selection activeCell="I2" sqref="I2:I7"/>
    </sheetView>
  </sheetViews>
  <sheetFormatPr defaultRowHeight="14.4"/>
  <cols>
    <col min="1" max="1" width="27.44140625" customWidth="1"/>
    <col min="6" max="6" width="9.5546875" customWidth="1"/>
    <col min="9" max="9" width="26.77734375" customWidth="1"/>
    <col min="10" max="10" width="13.88671875" bestFit="1" customWidth="1"/>
    <col min="11" max="11" width="13.21875" customWidth="1"/>
    <col min="12" max="12" width="32.33203125" customWidth="1"/>
    <col min="14" max="14" width="14.77734375" customWidth="1"/>
  </cols>
  <sheetData>
    <row r="1" spans="1:13">
      <c r="A1" s="28" t="s">
        <v>252</v>
      </c>
      <c r="B1" t="s">
        <v>253</v>
      </c>
      <c r="C1" t="s">
        <v>254</v>
      </c>
      <c r="D1" t="s">
        <v>255</v>
      </c>
      <c r="F1" t="s">
        <v>259</v>
      </c>
      <c r="I1" s="53" t="s">
        <v>54</v>
      </c>
      <c r="J1" s="53" t="s">
        <v>253</v>
      </c>
      <c r="K1" s="53" t="s">
        <v>254</v>
      </c>
      <c r="L1" s="53" t="s">
        <v>255</v>
      </c>
    </row>
    <row r="2" spans="1:13">
      <c r="A2" s="28" t="s">
        <v>256</v>
      </c>
      <c r="B2">
        <v>280000</v>
      </c>
      <c r="C2">
        <v>340000</v>
      </c>
      <c r="D2">
        <v>220000</v>
      </c>
      <c r="F2">
        <v>1</v>
      </c>
      <c r="I2" s="49" t="s">
        <v>25</v>
      </c>
      <c r="J2" s="50">
        <f>Three_Statement!O2</f>
        <v>27204154.684898496</v>
      </c>
      <c r="K2" s="49">
        <v>29568819.85408004</v>
      </c>
      <c r="L2" s="49">
        <v>24119908.510867871</v>
      </c>
    </row>
    <row r="3" spans="1:13">
      <c r="A3" s="28" t="s">
        <v>257</v>
      </c>
      <c r="B3" s="1">
        <v>0.05</v>
      </c>
      <c r="C3" s="1">
        <v>7.0000000000000007E-2</v>
      </c>
      <c r="D3" s="1">
        <v>0.03</v>
      </c>
      <c r="I3" s="49" t="s">
        <v>215</v>
      </c>
      <c r="J3" s="50">
        <f>Three_Statement!O7</f>
        <v>-2486073.613667387</v>
      </c>
      <c r="K3" s="49">
        <v>-121408.44448584621</v>
      </c>
      <c r="L3" s="49">
        <v>-5570319.7876980118</v>
      </c>
    </row>
    <row r="4" spans="1:13">
      <c r="A4" s="28" t="s">
        <v>20</v>
      </c>
      <c r="B4" s="2">
        <v>2.4E-2</v>
      </c>
      <c r="C4" s="1">
        <v>0.03</v>
      </c>
      <c r="D4" s="2">
        <v>1.4999999999999999E-2</v>
      </c>
      <c r="I4" s="49" t="s">
        <v>218</v>
      </c>
      <c r="J4" s="51">
        <f>Three_Statement!O10</f>
        <v>-4286073.6136673875</v>
      </c>
      <c r="K4" s="49">
        <v>-1921408.4444858464</v>
      </c>
      <c r="L4" s="49">
        <v>-7370319.7876980118</v>
      </c>
    </row>
    <row r="5" spans="1:13">
      <c r="A5" s="28" t="s">
        <v>21</v>
      </c>
      <c r="B5" s="2">
        <v>1.2999999999999999E-2</v>
      </c>
      <c r="C5" s="1">
        <v>0.01</v>
      </c>
      <c r="D5" s="2">
        <v>1.7999999999999999E-2</v>
      </c>
      <c r="I5" s="49" t="s">
        <v>260</v>
      </c>
      <c r="J5" s="50">
        <f>Three_Statement!N59</f>
        <v>26652359.870646987</v>
      </c>
      <c r="K5" s="49">
        <v>28798180.74651714</v>
      </c>
      <c r="L5" s="49">
        <v>23818236.799034312</v>
      </c>
    </row>
    <row r="6" spans="1:13">
      <c r="A6" s="28" t="s">
        <v>22</v>
      </c>
      <c r="B6" s="2">
        <v>4.0000000000000001E-3</v>
      </c>
      <c r="C6" s="2">
        <v>3.0000000000000001E-3</v>
      </c>
      <c r="D6" s="2">
        <v>6.0000000000000001E-3</v>
      </c>
      <c r="I6" s="49"/>
      <c r="J6" s="49"/>
      <c r="K6" s="49"/>
      <c r="L6" s="49"/>
    </row>
    <row r="7" spans="1:13">
      <c r="A7" s="28" t="s">
        <v>258</v>
      </c>
      <c r="B7" s="1">
        <v>1</v>
      </c>
      <c r="C7" s="1">
        <v>1.2</v>
      </c>
      <c r="D7" s="1">
        <v>0.5</v>
      </c>
      <c r="I7" s="49" t="s">
        <v>44</v>
      </c>
      <c r="J7" s="52">
        <f>(1+B4-B5-B6)^12</f>
        <v>1.087310661915508</v>
      </c>
      <c r="K7" s="52">
        <f>(1+C4-C5-C6)^12</f>
        <v>1.2241973500533267</v>
      </c>
      <c r="L7" s="52">
        <f>(1+D4-D5-D6)^12</f>
        <v>0.8971888214154754</v>
      </c>
    </row>
    <row r="13" spans="1:13">
      <c r="L13" s="39"/>
      <c r="M13" s="39"/>
    </row>
    <row r="14" spans="1:13">
      <c r="L14" s="28"/>
      <c r="M14" s="28"/>
    </row>
    <row r="15" spans="1:13">
      <c r="L15" s="28"/>
      <c r="M15" s="28"/>
    </row>
    <row r="16" spans="1:13">
      <c r="L16" s="28"/>
      <c r="M16" s="28"/>
    </row>
    <row r="17" spans="11:14">
      <c r="L17" s="28"/>
      <c r="M17" s="28"/>
    </row>
    <row r="18" spans="11:14">
      <c r="M18" s="28"/>
    </row>
    <row r="19" spans="11:14">
      <c r="K19" s="39"/>
      <c r="L19" s="39"/>
      <c r="M19" s="28"/>
      <c r="N19" s="28"/>
    </row>
    <row r="20" spans="11:14">
      <c r="K20" s="28"/>
      <c r="L20" s="28"/>
      <c r="M20" s="28"/>
      <c r="N20" s="28"/>
    </row>
    <row r="21" spans="11:14">
      <c r="K21" s="28"/>
      <c r="L21" s="28"/>
      <c r="M21" s="28"/>
      <c r="N21" s="28"/>
    </row>
    <row r="22" spans="11:14">
      <c r="K22" s="28"/>
      <c r="L22" s="28"/>
      <c r="M22" s="28"/>
      <c r="N22" s="28"/>
    </row>
    <row r="23" spans="11:14">
      <c r="K23" s="28"/>
      <c r="L23" s="28"/>
      <c r="M23" s="28"/>
      <c r="N23" s="28"/>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97119-37D4-4996-A381-3E5D94B50974}">
  <dimension ref="A1:L19"/>
  <sheetViews>
    <sheetView workbookViewId="0">
      <selection activeCell="F11" sqref="F11"/>
    </sheetView>
  </sheetViews>
  <sheetFormatPr defaultRowHeight="14.4"/>
  <cols>
    <col min="1" max="1" width="16.88671875" customWidth="1"/>
    <col min="2" max="2" width="14.6640625" customWidth="1"/>
    <col min="3" max="3" width="11.5546875" customWidth="1"/>
    <col min="4" max="5" width="14" customWidth="1"/>
    <col min="6" max="6" width="12.21875" customWidth="1"/>
    <col min="7" max="7" width="15.5546875" customWidth="1"/>
  </cols>
  <sheetData>
    <row r="1" spans="1:12">
      <c r="A1" s="44" t="s">
        <v>267</v>
      </c>
      <c r="B1" s="44" t="s">
        <v>268</v>
      </c>
      <c r="C1" s="44" t="s">
        <v>269</v>
      </c>
      <c r="D1" s="44" t="s">
        <v>270</v>
      </c>
      <c r="E1" s="44" t="s">
        <v>271</v>
      </c>
      <c r="F1" s="44" t="s">
        <v>272</v>
      </c>
      <c r="G1" s="44" t="s">
        <v>273</v>
      </c>
    </row>
    <row r="2" spans="1:12">
      <c r="A2" s="22" t="s">
        <v>172</v>
      </c>
      <c r="B2" s="45">
        <f>SUM(Rev_Build!B16:D16)</f>
        <v>6225047.1626666663</v>
      </c>
      <c r="C2" s="47">
        <v>6050000</v>
      </c>
      <c r="D2" s="45">
        <f>C2-B2</f>
        <v>-175047.16266666632</v>
      </c>
      <c r="E2" s="48">
        <f>D2/B2</f>
        <v>-2.8119813086151812E-2</v>
      </c>
      <c r="F2" s="29" t="str">
        <f>IF(D2&gt;=0,"F","U")</f>
        <v>U</v>
      </c>
      <c r="G2" s="29" t="str">
        <f>IF(AND(ABS(D2)&gt;50000,ABS(E2)&gt;5%),"Material","")</f>
        <v/>
      </c>
    </row>
    <row r="3" spans="1:12">
      <c r="A3" s="22" t="s">
        <v>274</v>
      </c>
      <c r="B3" s="3">
        <f>SUM(Rev_Build!B11:D11)</f>
        <v>840000</v>
      </c>
      <c r="C3" s="47">
        <v>760000</v>
      </c>
      <c r="D3" s="45">
        <f t="shared" ref="D3:D8" si="0">C3-B3</f>
        <v>-80000</v>
      </c>
      <c r="E3" s="48">
        <f t="shared" ref="E3:E8" si="1">D3/B3</f>
        <v>-9.5238095238095233E-2</v>
      </c>
      <c r="F3" s="22" t="str">
        <f>IF(D3&gt;=0,"F","U")</f>
        <v>U</v>
      </c>
      <c r="G3" s="29" t="str">
        <f t="shared" ref="G3:G8" si="2">IF(AND(ABS(D3)&gt;50000,ABS(E3)&gt;5%),"Material","")</f>
        <v>Material</v>
      </c>
    </row>
    <row r="4" spans="1:12">
      <c r="A4" s="22" t="s">
        <v>138</v>
      </c>
      <c r="B4" s="3">
        <f>SUM(Three_Statement!C3:E3)</f>
        <v>1135568.197547684</v>
      </c>
      <c r="C4" s="3">
        <v>1480000</v>
      </c>
      <c r="D4" s="45">
        <f t="shared" si="0"/>
        <v>344431.80245231604</v>
      </c>
      <c r="E4" s="48">
        <f t="shared" si="1"/>
        <v>0.3033123005699998</v>
      </c>
      <c r="F4" t="str">
        <f>IF(D4&lt;=0,"F","U")</f>
        <v>U</v>
      </c>
      <c r="G4" s="29" t="str">
        <f t="shared" si="2"/>
        <v>Material</v>
      </c>
    </row>
    <row r="5" spans="1:12">
      <c r="A5" s="22" t="s">
        <v>148</v>
      </c>
      <c r="B5" s="3">
        <f>SUM(OpEx_Budget!B25:D25)</f>
        <v>2575792.1962306998</v>
      </c>
      <c r="C5" s="3">
        <v>3150000</v>
      </c>
      <c r="D5" s="45">
        <f t="shared" si="0"/>
        <v>574207.80376930023</v>
      </c>
      <c r="E5" s="48">
        <f t="shared" si="1"/>
        <v>0.22292473927422038</v>
      </c>
      <c r="F5" t="str">
        <f>IF(D5&lt;=0,"F","U")</f>
        <v>U</v>
      </c>
      <c r="G5" s="29" t="str">
        <f t="shared" si="2"/>
        <v>Material</v>
      </c>
    </row>
    <row r="6" spans="1:12">
      <c r="A6" s="22" t="s">
        <v>83</v>
      </c>
      <c r="B6" s="3">
        <f>SUM(OpEx_Budget!B26:D26)</f>
        <v>2022169.9346049044</v>
      </c>
      <c r="C6" s="3">
        <v>2240000</v>
      </c>
      <c r="D6" s="45">
        <f t="shared" si="0"/>
        <v>217830.06539509562</v>
      </c>
      <c r="E6" s="48">
        <f t="shared" si="1"/>
        <v>0.10772094949461095</v>
      </c>
      <c r="F6" s="43" t="str">
        <f>IF(D6&lt;=0,"F","U")</f>
        <v>U</v>
      </c>
      <c r="G6" s="29" t="str">
        <f t="shared" si="2"/>
        <v>Material</v>
      </c>
    </row>
    <row r="7" spans="1:12">
      <c r="A7" s="22" t="s">
        <v>85</v>
      </c>
      <c r="B7" s="3">
        <f>SUM(OpEx_Budget!B27:D27)</f>
        <v>1466969.5418937332</v>
      </c>
      <c r="C7" s="3">
        <v>1320000</v>
      </c>
      <c r="D7" s="45">
        <f t="shared" si="0"/>
        <v>-146969.5418937332</v>
      </c>
      <c r="E7" s="48">
        <f t="shared" si="1"/>
        <v>-0.10018581688070223</v>
      </c>
      <c r="F7" s="43" t="str">
        <f>IF(D7&lt;=0,"F","U")</f>
        <v>F</v>
      </c>
      <c r="G7" s="29" t="str">
        <f t="shared" si="2"/>
        <v>Material</v>
      </c>
    </row>
    <row r="8" spans="1:12">
      <c r="A8" s="22" t="s">
        <v>275</v>
      </c>
      <c r="B8" s="46">
        <f>Headcount_Plan!D48</f>
        <v>142.81186</v>
      </c>
      <c r="C8" s="3">
        <v>142</v>
      </c>
      <c r="D8" s="45">
        <f t="shared" si="0"/>
        <v>-0.81185999999999581</v>
      </c>
      <c r="E8" s="48">
        <f t="shared" si="1"/>
        <v>-5.6848219748695649E-3</v>
      </c>
      <c r="F8" s="43" t="str">
        <f>IF(D8&gt;=0,"F","U")</f>
        <v>U</v>
      </c>
      <c r="G8" s="29" t="str">
        <f t="shared" si="2"/>
        <v/>
      </c>
    </row>
    <row r="12" spans="1:12">
      <c r="K12" s="39"/>
      <c r="L12" s="39"/>
    </row>
    <row r="13" spans="1:12">
      <c r="K13" s="28"/>
      <c r="L13" s="28"/>
    </row>
    <row r="14" spans="1:12">
      <c r="K14" s="28"/>
      <c r="L14" s="28"/>
    </row>
    <row r="15" spans="1:12">
      <c r="K15" s="28"/>
      <c r="L15" s="28"/>
    </row>
    <row r="16" spans="1:12">
      <c r="K16" s="28"/>
      <c r="L16" s="28"/>
    </row>
    <row r="17" spans="11:12">
      <c r="K17" s="28"/>
      <c r="L17" s="28"/>
    </row>
    <row r="18" spans="11:12">
      <c r="K18" s="28"/>
      <c r="L18" s="28"/>
    </row>
    <row r="19" spans="11:12">
      <c r="K19" s="28"/>
      <c r="L19" s="2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Executive_Summary</vt:lpstr>
      <vt:lpstr>Dashboard</vt:lpstr>
      <vt:lpstr>Assumptions_Log</vt:lpstr>
      <vt:lpstr>Rev_Build</vt:lpstr>
      <vt:lpstr>Customer_Metrics</vt:lpstr>
      <vt:lpstr>Sales_Capacity</vt:lpstr>
      <vt:lpstr>Headcount_Plan</vt:lpstr>
      <vt:lpstr>Dept_Budget</vt:lpstr>
      <vt:lpstr>OpEx_Budget</vt:lpstr>
      <vt:lpstr>Cash_Flow</vt:lpstr>
      <vt:lpstr>Three_Statement</vt:lpstr>
      <vt:lpstr>Scenarios</vt:lpstr>
      <vt:lpstr>Variance_Analysis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radhika mahalle</dc:creator>
  <cp:lastModifiedBy>radhika mahalle</cp:lastModifiedBy>
  <dcterms:created xsi:type="dcterms:W3CDTF">2026-06-16T10:00:58Z</dcterms:created>
  <dcterms:modified xsi:type="dcterms:W3CDTF">2026-07-11T19:56:08Z</dcterms:modified>
</cp:coreProperties>
</file>